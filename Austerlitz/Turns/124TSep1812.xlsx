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/>
  <x:bookViews>
    <x:workbookView xWindow="190" yWindow="490" windowWidth="18880" windowHeight="6740" firstSheet="0" activeTab="0"/>
  </x:bookViews>
  <x:sheets>
    <x:sheet name="Sheet1" sheetId="1" r:id="rId1"/>
  </x:sheets>
  <x:definedNames/>
  <x:calcPr calcId="124519"/>
</x:workbook>
</file>

<file path=xl/calcChain.xml><?xml version="1.0" encoding="utf-8"?>
<x:calcChain xmlns:x="http://schemas.openxmlformats.org/spreadsheetml/2006/main">
  <x:c r="L12" i="1"/>
  <x:c r="L13" i="1"/>
  <x:c r="L14" i="1"/>
  <x:c r="L15" i="1"/>
  <x:c r="L16" i="1"/>
  <x:c r="L17" i="1"/>
  <x:c r="L18" i="1"/>
  <x:c r="L19" i="1"/>
  <x:c r="L20" i="1"/>
  <x:c r="L21" i="1"/>
  <x:c r="L25" i="1"/>
  <x:c r="L26" i="1"/>
  <x:c r="L27" i="1"/>
  <x:c r="L28" i="1"/>
  <x:c r="L29" i="1"/>
  <x:c r="L30" i="1"/>
  <x:c r="L34" i="1"/>
  <x:c r="L35" i="1"/>
  <x:c r="L36" i="1"/>
  <x:c r="L37" i="1"/>
  <x:c r="L38" i="1"/>
  <x:c r="L39" i="1"/>
  <x:c r="L40" i="1"/>
  <x:c r="L41" i="1"/>
  <x:c r="L45" i="1"/>
  <x:c r="L46" i="1"/>
  <x:c r="L47" i="1"/>
  <x:c r="L48" i="1"/>
  <x:c r="L49" i="1"/>
  <x:c r="L50" i="1"/>
  <x:c r="L54" i="1"/>
  <x:c r="L55" i="1"/>
  <x:c r="L56" i="1"/>
  <x:c r="L57" i="1"/>
  <x:c r="L58" i="1"/>
  <x:c r="L59" i="1"/>
  <x:c r="L60" i="1"/>
  <x:c r="L61" i="1"/>
  <x:c r="L62" i="1"/>
  <x:c r="L63" i="1"/>
  <x:c r="L64" i="1"/>
  <x:c r="L65" i="1"/>
  <x:c r="L69" i="1"/>
  <x:c r="L70" i="1"/>
  <x:c r="L71" i="1"/>
  <x:c r="L72" i="1"/>
  <x:c r="L73" i="1"/>
  <x:c r="L74" i="1"/>
  <x:c r="L75" i="1"/>
  <x:c r="L76" i="1"/>
  <x:c r="L77" i="1"/>
  <x:c r="L78" i="1"/>
  <x:c r="L79" i="1"/>
  <x:c r="L80" i="1"/>
  <x:c r="L81" i="1"/>
  <x:c r="L82" i="1"/>
  <x:c r="L83" i="1"/>
  <x:c r="L84" i="1"/>
  <x:c r="L88" i="1"/>
  <x:c r="L89" i="1"/>
  <x:c r="L90" i="1"/>
  <x:c r="L91" i="1"/>
  <x:c r="L95" i="1"/>
  <x:c r="L96" i="1"/>
  <x:c r="L97" i="1"/>
  <x:c r="L98" i="1"/>
  <x:c r="L99" i="1"/>
  <x:c r="L100" i="1"/>
  <x:c r="L101" i="1"/>
  <x:c r="L102" i="1"/>
  <x:c r="L106" i="1"/>
  <x:c r="L107" i="1"/>
  <x:c r="L108" i="1"/>
  <x:c r="L109" i="1"/>
  <x:c r="L110" i="1"/>
  <x:c r="L111" i="1"/>
  <x:c r="L115" i="1"/>
  <x:c r="L116" i="1"/>
  <x:c r="L117" i="1"/>
  <x:c r="L118" i="1"/>
  <x:c r="L119" i="1"/>
  <x:c r="L120" i="1"/>
  <x:c r="L121" i="1"/>
  <x:c r="L122" i="1"/>
  <x:c r="L126" i="1"/>
  <x:c r="L127" i="1"/>
  <x:c r="L128" i="1"/>
  <x:c r="L129" i="1"/>
  <x:c r="L133" i="1"/>
  <x:c r="L134" i="1"/>
  <x:c r="L135" i="1"/>
  <x:c r="L136" i="1"/>
  <x:c r="L137" i="1"/>
  <x:c r="L138" i="1"/>
  <x:c r="L139" i="1"/>
  <x:c r="L143" i="1"/>
  <x:c r="L144" i="1"/>
  <x:c r="L145" i="1"/>
  <x:c r="L146" i="1"/>
  <x:c r="L147" i="1"/>
  <x:c r="L148" i="1"/>
  <x:c r="L149" i="1"/>
  <x:c r="L150" i="1"/>
  <x:c r="L151" i="1"/>
  <x:c r="L152" i="1"/>
  <x:c r="L156" i="1"/>
  <x:c r="L157" i="1"/>
  <x:c r="L158" i="1"/>
  <x:c r="L159" i="1"/>
  <x:c r="L160" i="1"/>
  <x:c r="L161" i="1"/>
  <x:c r="L162" i="1"/>
  <x:c r="L163" i="1"/>
  <x:c r="L164" i="1"/>
  <x:c r="L165" i="1"/>
  <x:c r="L166" i="1"/>
  <x:c r="L167" i="1"/>
  <x:c r="L168" i="1"/>
  <x:c r="L169" i="1"/>
  <x:c r="L170" i="1"/>
  <x:c r="L171" i="1"/>
  <x:c r="L172" i="1"/>
  <x:c r="L173" i="1"/>
  <x:c r="L174" i="1"/>
  <x:c r="L175" i="1"/>
  <x:c r="L176" i="1"/>
  <x:c r="L180" i="1"/>
  <x:c r="L181" i="1"/>
  <x:c r="L182" i="1"/>
  <x:c r="L183" i="1"/>
  <x:c r="L184" i="1"/>
  <x:c r="L188" i="1"/>
  <x:c r="L189" i="1"/>
  <x:c r="L190" i="1"/>
  <x:c r="L194" i="1"/>
  <x:c r="L195" i="1"/>
  <x:c r="L196" i="1"/>
  <x:c r="L197" i="1"/>
  <x:c r="L198" i="1"/>
  <x:c r="L199" i="1"/>
  <x:c r="L200" i="1"/>
  <x:c r="L201" i="1"/>
  <x:c r="L202" i="1"/>
  <x:c r="L203" i="1"/>
  <x:c r="L204" i="1"/>
  <x:c r="L205" i="1"/>
  <x:c r="L206" i="1"/>
  <x:c r="L207" i="1"/>
  <x:c r="L208" i="1"/>
  <x:c r="L209" i="1"/>
  <x:c r="L210" i="1"/>
  <x:c r="L211" i="1"/>
  <x:c r="L215" i="1"/>
  <x:c r="L216" i="1"/>
  <x:c r="L217" i="1"/>
  <x:c r="L218" i="1"/>
  <x:c r="L219" i="1"/>
  <x:c r="L220" i="1"/>
  <x:c r="L221" i="1"/>
  <x:c r="L222" i="1"/>
  <x:c r="L223" i="1"/>
  <x:c r="L224" i="1"/>
  <x:c r="L225" i="1"/>
  <x:c r="L226" i="1"/>
  <x:c r="L227" i="1"/>
  <x:c r="L228" i="1"/>
  <x:c r="L229" i="1"/>
  <x:c r="L230" i="1"/>
  <x:c r="L231" i="1"/>
  <x:c r="L232" i="1"/>
  <x:c r="L233" i="1"/>
  <x:c r="L234" i="1"/>
  <x:c r="L235" i="1"/>
  <x:c r="L236" i="1"/>
  <x:c r="L237" i="1"/>
  <x:c r="L238" i="1"/>
  <x:c r="L239" i="1"/>
  <x:c r="L240" i="1"/>
  <x:c r="L241" i="1"/>
  <x:c r="L242" i="1"/>
  <x:c r="L243" i="1"/>
  <x:c r="L244" i="1"/>
  <x:c r="L248" i="1"/>
  <x:c r="L249" i="1"/>
  <x:c r="L250" i="1"/>
  <x:c r="L251" i="1"/>
  <x:c r="L252" i="1"/>
  <x:c r="L253" i="1"/>
  <x:c r="L254" i="1"/>
  <x:c r="L255" i="1"/>
  <x:c r="L256" i="1"/>
  <x:c r="L257" i="1"/>
  <x:c r="L258" i="1"/>
  <x:c r="L259" i="1"/>
  <x:c r="L260" i="1"/>
  <x:c r="L261" i="1"/>
  <x:c r="L262" i="1"/>
  <x:c r="L263" i="1"/>
  <x:c r="L264" i="1"/>
  <x:c r="L265" i="1"/>
  <x:c r="L269" i="1"/>
  <x:c r="L270" i="1"/>
  <x:c r="L271" i="1"/>
  <x:c r="L272" i="1"/>
  <x:c r="L273" i="1"/>
  <x:c r="L274" i="1"/>
  <x:c r="L275" i="1"/>
  <x:c r="L276" i="1"/>
  <x:c r="L277" i="1"/>
  <x:c r="L278" i="1"/>
  <x:c r="L279" i="1"/>
  <x:c r="L280" i="1"/>
  <x:c r="L281" i="1"/>
  <x:c r="L282" i="1"/>
  <x:c r="L283" i="1"/>
  <x:c r="L284" i="1"/>
  <x:c r="L288" i="1"/>
  <x:c r="L289" i="1"/>
  <x:c r="L290" i="1"/>
  <x:c r="L291" i="1"/>
  <x:c r="L292" i="1"/>
  <x:c r="L293" i="1"/>
  <x:c r="L297" i="1"/>
  <x:c r="L298" i="1"/>
  <x:c r="L299" i="1"/>
  <x:c r="L300" i="1"/>
  <x:c r="L304" i="1"/>
  <x:c r="L305" i="1"/>
  <x:c r="L306" i="1"/>
  <x:c r="L307" i="1"/>
</x:calcChain>
</file>

<file path=xl/sharedStrings.xml><?xml version="1.0" encoding="utf-8"?>
<x:sst xmlns:x="http://schemas.openxmlformats.org/spreadsheetml/2006/main">
  <x:si>
    <x:t>A U S T E R L I T Z</x:t>
  </x:si>
  <x:si>
    <x:t>Error Checking</x:t>
  </x:si>
  <x:si>
    <x:t>The Rise of the Eagle</x:t>
  </x:si>
  <x:si>
    <x:t>State:</x:t>
  </x:si>
  <x:si>
    <x:t>Choose</x:t>
  </x:si>
  <x:si>
    <x:t>Game:</x:t>
  </x:si>
  <x:si>
    <x:t>Account:</x:t>
  </x:si>
  <x:si>
    <x:t>Player:</x:t>
  </x:si>
  <x:si>
    <x:t>Process Date</x:t>
  </x:si>
  <x:si>
    <x:t>(01) Transfer Goods between Warehouse and Barracks or Shipyards</x:t>
  </x:si>
  <x:si>
    <x:t>From</x:t>
  </x:si>
  <x:si>
    <x:t>To</x:t>
  </x:si>
  <x:si>
    <x:t>Louisdore</x:t>
  </x:si>
  <x:si>
    <x:t>Citizens</x:t>
  </x:si>
  <x:si>
    <x:t>EcPts</x:t>
  </x:si>
  <x:si>
    <x:t>Wood</x:t>
  </x:si>
  <x:si>
    <x:t>Horses</x:t>
  </x:si>
  <x:si>
    <x:t>Textiles</x:t>
  </x:si>
  <x:si>
    <x:t>(02) Demolish Items</x:t>
  </x:si>
  <x:si>
    <x:t>(03) Set Up Brigades</x:t>
  </x:si>
  <x:si>
    <x:t>Depot</x:t>
  </x:si>
  <x:si>
    <x:t>Batt 1</x:t>
  </x:si>
  <x:si>
    <x:t>Batt 2</x:t>
  </x:si>
  <x:si>
    <x:t>Batt 3</x:t>
  </x:si>
  <x:si>
    <x:t>Batt 4</x:t>
  </x:si>
  <x:si>
    <x:t>Batt 5</x:t>
  </x:si>
  <x:si>
    <x:t>Batt 6</x:t>
  </x:si>
  <x:si>
    <x:t>Batt 7</x:t>
  </x:si>
  <x:si>
    <x:t>Name – You must name your Brigade</x:t>
  </x:si>
  <x:si>
    <x:t>(04) Set Up Additional Battalions (Brigade/Battalion)</x:t>
  </x:si>
  <x:si>
    <x:t>(05) Increase Headcount (Brigade or Federation/Men)</x:t>
  </x:si>
  <x:si>
    <x:t>(06) Increase Brigade Experience Level (Brigade or Federation)</x:t>
  </x:si>
  <x:si>
    <x:t>(07) Exchange Battalions</x:t>
  </x:si>
  <x:si>
    <x:t>Brig A</x:t>
  </x:si>
  <x:si>
    <x:t>Bat A</x:t>
  </x:si>
  <x:si>
    <x:t>Brig B</x:t>
  </x:si>
  <x:si>
    <x:t>Bat B</x:t>
  </x:si>
  <x:si>
    <x:t>(08) Merge Battalions</x:t>
  </x:si>
  <x:si>
    <x:t>(09) Repair Ships &amp; Baggage Trains (Ship, Train, Federation, Fleet)</x:t>
  </x:si>
  <x:si>
    <x:t>(10) Build Ships (Shipyard/Ship Type/Name - Warships only)</x:t>
  </x:si>
  <x:si>
    <x:t>(11) Build Baggage Train (Code number of Barracks/Shipyard)</x:t>
  </x:si>
  <x:si>
    <x:t>(12) Increase Population Density (x-co-ordinate/y-co-ordinate)</x:t>
  </x:si>
  <x:si>
    <x:t>(13) Build Production Sites (Type/x-co-ordinate/y-co-ordinate)</x:t>
  </x:si>
  <x:si>
    <x:t>(14) Form Federations (Item/Federation or Fleet)</x:t>
  </x:si>
  <x:si>
    <x:t>(15) Coastal Defence Activate/Deactivate (Fleet)</x:t>
  </x:si>
  <x:si>
    <x:t>(16) Sea Blockade (Fleet/State/State/State/State/State) or (Fleet/0)</x:t>
  </x:si>
  <x:si>
    <x:t>Fleet</x:t>
  </x:si>
  <x:si>
    <x:t>State</x:t>
  </x:si>
  <x:si>
    <x:t>(17) Trade and Loading - 1 (Goods/Quantity/Source/Destination)</x:t>
  </x:si>
  <x:si>
    <x:t>Goods</x:t>
  </x:si>
  <x:si>
    <x:t>Qty</x:t>
  </x:si>
  <x:si>
    <x:t>Source</x:t>
  </x:si>
  <x:si>
    <x:t>Dest</x:t>
  </x:si>
  <x:si>
    <x:t>(18) Movement (Item/Direction1/Distance1/Direction2/Distance2/Direction3/Distance3)</x:t>
  </x:si>
  <x:si>
    <x:t>Item</x:t>
  </x:si>
  <x:si>
    <x:t>Dir 1</x:t>
  </x:si>
  <x:si>
    <x:t>Dist 1</x:t>
  </x:si>
  <x:si>
    <x:t>Dir 2</x:t>
  </x:si>
  <x:si>
    <x:t>Dist 2</x:t>
  </x:si>
  <x:si>
    <x:t>Dir 3</x:t>
  </x:si>
  <x:si>
    <x:t>Dist 3</x:t>
  </x:si>
  <x:si>
    <x:t>(19) Trade and Loading - 2 (Goods/Quantity/Source/Destination)</x:t>
  </x:si>
  <x:si>
    <x:t>(20) Boarding</x:t>
  </x:si>
  <x:si>
    <x:t>Cmd</x:t>
  </x:si>
  <x:si>
    <x:t>Fleet Owner</x:t>
  </x:si>
  <x:si>
    <x:t>(21) Hand Over Territory</x:t>
  </x:si>
  <x:si>
    <x:t>Shipnumber or Coordinates (xx/yy)</x:t>
  </x:si>
  <x:si>
    <x:t>(22) Change Names</x:t>
  </x:si>
  <x:si>
    <x:t>New Name</x:t>
  </x:si>
  <x:si>
    <x:t>(23) Change State Relationships  (State/New Relationship)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</x:si>
</x:sst>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2">
    <x:font>
      <x:sz val="11"/>
      <x:color theme="1"/>
      <x:name val="Verdana"/>
      <x:scheme val="minor"/>
    </x:font>
    <x:font>
      <x:sz val="36"/>
      <x:color theme="1"/>
      <x:name val="Times New Roman"/>
    </x:font>
    <x:font>
      <x:sz val="10"/>
      <x:color theme="1"/>
      <x:name val="Avenir"/>
    </x:font>
    <x:font>
      <x:sz val="10"/>
      <x:color rgb="FF424242"/>
      <x:name val="Avenir"/>
    </x:font>
    <x:font>
      <x:sz val="14"/>
      <x:color theme="1"/>
      <x:name val="Times New Roman"/>
    </x:font>
    <x:font>
      <x:sz val="11"/>
      <x:color theme="1"/>
      <x:name val="Times New Roman"/>
    </x:font>
    <x:font>
      <x:sz val="11"/>
      <x:color rgb="FF424242"/>
      <x:name val="Times New Roman"/>
    </x:font>
    <x:font>
      <x:sz val="11"/>
      <x:name val="Verdana"/>
    </x:font>
    <x:font>
      <x:sz val="14"/>
      <x:color rgb="FF1F1F1F"/>
      <x:name val="&quot;Google Sans&quot;"/>
    </x:font>
    <x:font>
      <x:b/>
      <x:sz val="12"/>
      <x:color theme="1"/>
      <x:name val="Times New Roman"/>
    </x:font>
    <x:font>
      <x:sz val="10"/>
      <x:color theme="1"/>
      <x:name val="Times New Roman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FFFFF"/>
        <x:bgColor rgb="FFFFFFFF"/>
      </x:patternFill>
    </x:fill>
  </x:fills>
  <x:borders count="12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30">
    <x:xf numFmtId="0" fontId="0" fillId="0" borderId="0"/>
    <x:xf numFmtId="1" fontId="1" fillId="0" borderId="0" applyNumberFormat="1" applyFill="1" applyBorder="0" applyAlignment="1" applyProtection="1">
      <x:protection locked="1" hidden="0"/>
    </x:xf>
    <x:xf numFmtId="1" fontId="2" fillId="0" borderId="0" applyNumberFormat="1" applyFill="1" applyBorder="0" applyAlignment="1" applyProtection="1">
      <x:protection locked="1" hidden="0"/>
    </x:xf>
    <x:xf numFmtId="1" fontId="3" fillId="0" borderId="0" applyNumberFormat="1" applyFill="1" applyBorder="0" applyAlignment="1" applyProtection="1">
      <x:protection locked="1" hidden="0"/>
    </x:xf>
    <x:xf numFmtId="1" fontId="4" fillId="0" borderId="0" applyNumberFormat="1" applyFill="1" applyBorder="0" applyAlignment="1" applyProtection="1">
      <x:protection locked="1" hidden="0"/>
    </x:xf>
    <x:xf numFmtId="1" fontId="5" fillId="0" borderId="0" applyNumberFormat="1" applyFill="1" applyBorder="0" applyAlignment="1" applyProtection="1">
      <x:protection locked="1" hidden="0"/>
    </x:xf>
    <x:xf numFmtId="1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1" fontId="5" fillId="2" borderId="1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1" fontId="5" fillId="2" borderId="4" applyNumberFormat="1" applyFill="0" applyBorder="1" applyAlignment="1" applyProtection="1">
      <x:protection locked="1" hidden="0"/>
    </x:xf>
    <x:xf numFmtId="1" fontId="6" fillId="0" borderId="0" applyNumberFormat="1" applyFill="1" applyBorder="0" applyAlignment="1" applyProtection="1">
      <x:protection locked="1" hidden="0"/>
    </x:xf>
    <x:xf numFmtId="0" fontId="8" fillId="3" borderId="0" quotePrefix="1" applyNumberFormat="1" applyFill="0" applyBorder="0" applyAlignment="1" applyProtection="1">
      <x:protection locked="1" hidden="0"/>
    </x:xf>
    <x:xf numFmtId="1" fontId="8" fillId="3" borderId="0" applyNumberFormat="1" applyFill="0" applyBorder="0" applyAlignment="1" applyProtection="1">
      <x:protection locked="1" hidden="0"/>
    </x:xf>
    <x:xf numFmtId="1" fontId="5" fillId="2" borderId="5" applyNumberFormat="1" applyFill="0" applyBorder="1" applyAlignment="1" applyProtection="1">
      <x:protection locked="1" hidden="0"/>
    </x:xf>
    <x:xf numFmtId="3" fontId="6" fillId="2" borderId="5" applyNumberFormat="1" applyFill="0" applyBorder="1" applyAlignment="1" applyProtection="1">
      <x:protection locked="1" hidden="0"/>
    </x:xf>
    <x:xf numFmtId="1" fontId="9" fillId="0" borderId="0" applyNumberFormat="1" applyFill="1" applyBorder="0" applyAlignment="1" applyProtection="1">
      <x:protection locked="1" hidden="0"/>
    </x:xf>
    <x:xf numFmtId="49" fontId="6" fillId="2" borderId="5" applyNumberFormat="1" applyFill="0" applyBorder="1" applyAlignment="1" applyProtection="1">
      <x:protection locked="1" hidden="0"/>
    </x:xf>
    <x:xf numFmtId="49" fontId="5" fillId="2" borderId="5" applyNumberFormat="1" applyFill="0" applyBorder="1" applyAlignment="1" applyProtection="1">
      <x:protection locked="1" hidden="0"/>
    </x:xf>
    <x:xf numFmtId="1" fontId="6" fillId="2" borderId="5" applyNumberFormat="1" applyFill="0" applyBorder="1" applyAlignment="1" applyProtection="1">
      <x:protection locked="1" hidden="0"/>
    </x:xf>
    <x:xf numFmtId="1" fontId="5" fillId="2" borderId="6" applyNumberFormat="1" applyFill="0" applyBorder="1" applyAlignment="1" applyProtection="1">
      <x:protection locked="1" hidden="0"/>
    </x:xf>
    <x:xf numFmtId="1" fontId="5" fillId="2" borderId="7" applyNumberFormat="1" applyFill="0" applyBorder="1" applyAlignment="1" applyProtection="1">
      <x:protection locked="1" hidden="0"/>
    </x:xf>
    <x:xf numFmtId="1" fontId="5" fillId="2" borderId="8" applyNumberFormat="1" applyFill="0" applyBorder="1" applyAlignment="1" applyProtection="1">
      <x:protection locked="1" hidden="0"/>
    </x:xf>
    <x:xf numFmtId="1" fontId="6" fillId="2" borderId="6" applyNumberFormat="1" applyFill="0" applyBorder="1" applyAlignment="1" applyProtection="1">
      <x:protection locked="1" hidden="0"/>
    </x:xf>
    <x:xf numFmtId="1" fontId="10" fillId="0" borderId="0" applyNumberFormat="1" applyFill="1" applyBorder="0" applyAlignment="1" applyProtection="1">
      <x:protection locked="1" hidden="0"/>
    </x:xf>
    <x:xf numFmtId="49" fontId="5" fillId="2" borderId="6" applyNumberFormat="1" applyFill="0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49" fontId="5" fillId="2" borderId="7" applyNumberFormat="1" applyFill="0" applyBorder="1" applyAlignment="1" applyProtection="1">
      <x:protection locked="1" hidden="0"/>
    </x:xf>
    <x:xf numFmtId="49" fontId="5" fillId="2" borderId="8" applyNumberFormat="1" applyFill="0" applyBorder="1" applyAlignment="1" applyProtection="1">
      <x:protection locked="1" hidden="0"/>
    </x:xf>
  </x:cellStyleXfs>
  <x:cellXfs count="63">
    <x:xf numFmtId="0" fontId="0" fillId="0" borderId="0" xfId="0" applyFont="1" applyAlignment="1"/>
    <x:xf numFmtId="1" fontId="2" fillId="0" borderId="0" xfId="0" applyNumberFormat="1" applyFont="1" applyAlignment="1">
      <x:alignment horizontal="center" vertical="center" wrapText="1"/>
    </x:xf>
    <x:xf numFmtId="1" fontId="3" fillId="0" borderId="0" xfId="0" applyNumberFormat="1" applyFont="1" applyAlignment="1">
      <x:alignment horizontal="center" vertical="center" wrapText="1"/>
    </x:xf>
    <x:xf numFmtId="1" fontId="4" fillId="0" borderId="0" xfId="0" applyNumberFormat="1" applyFont="1" applyAlignment="1">
      <x:alignment horizontal="center" vertical="center"/>
    </x:xf>
    <x:xf numFmtId="1" fontId="5" fillId="0" borderId="0" xfId="0" applyNumberFormat="1" applyFont="1"/>
    <x:xf numFmtId="1" fontId="2" fillId="0" borderId="0" xfId="0" applyNumberFormat="1" applyFont="1" applyAlignment="1">
      <x:alignment wrapText="1"/>
    </x:xf>
    <x:xf numFmtId="1" fontId="5" fillId="2" borderId="4" xfId="0" applyNumberFormat="1" applyFont="1" applyFill="1" applyBorder="1" applyAlignment="1">
      <x:alignment horizontal="left"/>
    </x:xf>
    <x:xf numFmtId="1" fontId="6" fillId="0" borderId="0" xfId="0" applyNumberFormat="1" applyFont="1" applyAlignment="1"/>
    <x:xf numFmtId="0" fontId="8" fillId="3" borderId="0" xfId="0" quotePrefix="1" applyFont="1" applyFill="1" applyAlignment="1"/>
    <x:xf numFmtId="1" fontId="8" fillId="3" borderId="0" xfId="0" applyNumberFormat="1" applyFont="1" applyFill="1" applyAlignment="1"/>
    <x:xf numFmtId="1" fontId="5" fillId="2" borderId="5" xfId="0" applyNumberFormat="1" applyFont="1" applyFill="1" applyBorder="1"/>
    <x:xf numFmtId="1" fontId="5" fillId="2" borderId="5" xfId="0" applyNumberFormat="1" applyFont="1" applyFill="1" applyBorder="1" applyAlignment="1"/>
    <x:xf numFmtId="3" fontId="6" fillId="2" borderId="5" xfId="0" applyNumberFormat="1" applyFont="1" applyFill="1" applyBorder="1" applyAlignment="1"/>
    <x:xf numFmtId="1" fontId="9" fillId="0" borderId="0" xfId="0" applyNumberFormat="1" applyFont="1"/>
    <x:xf numFmtId="49" fontId="6" fillId="2" borderId="5" xfId="0" applyNumberFormat="1" applyFont="1" applyFill="1" applyBorder="1" applyAlignment="1"/>
    <x:xf numFmtId="49" fontId="5" fillId="2" borderId="5" xfId="0" applyNumberFormat="1" applyFont="1" applyFill="1" applyBorder="1"/>
    <x:xf numFmtId="49" fontId="5" fillId="2" borderId="5" xfId="0" applyNumberFormat="1" applyFont="1" applyFill="1" applyBorder="1" applyAlignment="1"/>
    <x:xf numFmtId="1" fontId="6" fillId="2" borderId="5" xfId="0" applyNumberFormat="1" applyFont="1" applyFill="1" applyBorder="1" applyAlignment="1"/>
    <x:xf numFmtId="1" fontId="5" fillId="2" borderId="6" xfId="0" applyNumberFormat="1" applyFont="1" applyFill="1" applyBorder="1"/>
    <x:xf numFmtId="1" fontId="5" fillId="2" borderId="7" xfId="0" applyNumberFormat="1" applyFont="1" applyFill="1" applyBorder="1"/>
    <x:xf numFmtId="1" fontId="5" fillId="2" borderId="8" xfId="0" applyNumberFormat="1" applyFont="1" applyFill="1" applyBorder="1"/>
    <x:xf numFmtId="1" fontId="6" fillId="2" borderId="6" xfId="0" applyNumberFormat="1" applyFont="1" applyFill="1" applyBorder="1" applyAlignment="1"/>
    <x:xf numFmtId="1" fontId="10" fillId="0" borderId="0" xfId="0" applyNumberFormat="1" applyFont="1" applyAlignment="1">
      <x:alignment vertical="center" wrapText="1"/>
    </x:xf>
    <x:xf numFmtId="1" fontId="6" fillId="2" borderId="5" xfId="0" applyNumberFormat="1" applyFont="1" applyFill="1" applyBorder="1" applyAlignment="1">
      <x:alignment horizontal="left"/>
    </x:xf>
    <x:xf numFmtId="1" fontId="5" fillId="2" borderId="5" xfId="0" applyNumberFormat="1" applyFont="1" applyFill="1" applyBorder="1" applyAlignment="1">
      <x:alignment horizontal="left"/>
    </x:xf>
    <x:xf numFmtId="49" fontId="5" fillId="2" borderId="5" xfId="0" applyNumberFormat="1" applyFont="1" applyFill="1" applyBorder="1" applyAlignment="1">
      <x:alignment horizontal="center"/>
    </x:xf>
    <x:xf numFmtId="49" fontId="6" fillId="2" borderId="5" xfId="0" applyNumberFormat="1" applyFont="1" applyFill="1" applyBorder="1" applyAlignment="1">
      <x:alignment horizontal="center"/>
    </x:xf>
    <x:xf numFmtId="49" fontId="5" fillId="2" borderId="6" xfId="0" applyNumberFormat="1" applyFont="1" applyFill="1" applyBorder="1"/>
    <x:xf numFmtId="49" fontId="5" fillId="2" borderId="7" xfId="0" applyNumberFormat="1" applyFont="1" applyFill="1" applyBorder="1"/>
    <x:xf numFmtId="49" fontId="5" fillId="2" borderId="8" xfId="0" applyNumberFormat="1" applyFont="1" applyFill="1" applyBorder="1"/>
    <x:xf numFmtId="49" fontId="5" fillId="2" borderId="9" xfId="0" applyNumberFormat="1" applyFont="1" applyFill="1" applyBorder="1"/>
    <x:xf numFmtId="0" fontId="7" fillId="0" borderId="10" xfId="0" applyFont="1" applyBorder="1"/>
    <x:xf numFmtId="0" fontId="7" fillId="0" borderId="11" xfId="0" applyFont="1" applyBorder="1"/>
    <x:xf numFmtId="1" fontId="1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" fontId="4" fillId="0" borderId="0" xfId="0" applyNumberFormat="1" applyFont="1" applyAlignment="1">
      <x:alignment horizontal="center" vertical="center"/>
    </x:xf>
    <x:xf numFmtId="1" fontId="6" fillId="2" borderId="1" xfId="0" applyNumberFormat="1" applyFont="1" applyFill="1" applyBorder="1" applyAlignment="1">
      <x:alignment horizontal="left"/>
    </x:xf>
    <x:xf numFmtId="0" fontId="7" fillId="0" borderId="2" xfId="0" applyFont="1" applyBorder="1"/>
    <x:xf numFmtId="1" fontId="5" fillId="2" borderId="1" xfId="0" applyNumberFormat="1" applyFont="1" applyFill="1" applyBorder="1" applyAlignment="1">
      <x:alignment horizontal="left"/>
    </x:xf>
    <x:xf numFmtId="0" fontId="7" fillId="0" borderId="3" xfId="0" applyFont="1" applyBorder="1"/>
    <x:xf numFmtId="1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5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5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8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6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6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5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5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5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6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5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5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5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4C7C3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08"/>
  <x:sheetViews>
    <x:sheetView tabSelected="1" workbookViewId="0">
      <x:selection activeCell="C13" sqref="C13"/>
    </x:sheetView>
  </x:sheetViews>
  <x:sheetFormatPr defaultColWidth="10.932847" defaultRowHeight="15" customHeight="1"/>
  <x:cols>
    <x:col min="1" max="1" width="3.570312" style="0" customWidth="1"/>
    <x:col min="2" max="6" width="7.140625" style="0" customWidth="1"/>
    <x:col min="7" max="7" width="8.425781" style="0" customWidth="1"/>
    <x:col min="8" max="9" width="7.140625" style="0" customWidth="1"/>
    <x:col min="10" max="10" width="28.785156" style="0" customWidth="1"/>
    <x:col min="11" max="11" width="2.855469" style="0" customWidth="1"/>
    <x:col min="12" max="12" width="40.640625" style="0" customWidth="1"/>
  </x:cols>
  <x:sheetData>
    <x:row r="1" spans="1:12" ht="13.5" customHeight="1">
      <x:c r="A1" s="33" t="s">
        <x:v>0</x:v>
      </x:c>
      <x:c r="K1" s="1"/>
      <x:c r="L1" s="2" t="s">
        <x:v>1</x:v>
      </x:c>
    </x:row>
    <x:row r="2" spans="1:12" ht="13.5" customHeight="1">
      <x:c r="A2" s="3" t="s">
        <x:v>2</x:v>
      </x:c>
      <x:c r="K2" s="1"/>
      <x:c r="L2" s="1"/>
    </x:row>
    <x:row r="3" spans="1:12" ht="13.5" customHeight="1">
      <x:c r="A3" s="4"/>
      <x:c r="B3" s="4"/>
      <x:c r="C3" s="4"/>
      <x:c r="D3" s="4"/>
      <x:c r="E3" s="3"/>
      <x:c r="F3" s="4"/>
      <x:c r="G3" s="4"/>
      <x:c r="H3" s="4"/>
      <x:c r="I3" s="4"/>
      <x:c r="J3" s="4"/>
      <x:c r="K3" s="5"/>
      <x:c r="L3" s="5"/>
    </x:row>
    <x:row r="4" spans="1:12" ht="13.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5"/>
      <x:c r="L4" s="5"/>
    </x:row>
    <x:row r="5" spans="1:12" ht="13.5" customHeight="1">
      <x:c r="A5" s="4" t="s">
        <x:v>3</x:v>
      </x:c>
      <x:c r="B5" s="4"/>
      <x:c r="C5" s="40" t="s">
        <x:v>4</x:v>
      </x:c>
      <x:c r="D5" s="37"/>
      <x:c r="E5" s="4" t="s">
        <x:v>5</x:v>
      </x:c>
      <x:c r="F5" s="4"/>
      <x:c r="G5" s="41"/>
      <x:c r="H5" s="39"/>
      <x:c r="I5" s="37"/>
      <x:c r="J5" s="4"/>
      <x:c r="K5" s="5"/>
      <x:c r="L5" s="5"/>
    </x:row>
    <x:row r="6" spans="1:12" ht="13.5" customHeight="1">
      <x:c r="A6" s="4" t="s">
        <x:v>6</x:v>
      </x:c>
      <x:c r="B6" s="4"/>
      <x:c r="C6" s="42"/>
      <x:c r="D6" s="4"/>
      <x:c r="E6" s="4" t="s">
        <x:v>7</x:v>
      </x:c>
      <x:c r="F6" s="4"/>
      <x:c r="G6" s="41"/>
      <x:c r="H6" s="39"/>
      <x:c r="I6" s="37"/>
      <x:c r="J6" s="4"/>
      <x:c r="K6" s="5"/>
      <x:c r="L6" s="5"/>
    </x:row>
    <x:row r="7" spans="1:12" ht="13.5" customHeight="1">
      <x:c r="A7" s="4"/>
      <x:c r="B7" s="4"/>
      <x:c r="C7" s="4"/>
      <x:c r="D7" s="4"/>
      <x:c r="E7" s="4" t="s">
        <x:v>8</x:v>
      </x:c>
      <x:c r="F7" s="4"/>
      <x:c r="G7" s="41"/>
      <x:c r="H7" s="39"/>
      <x:c r="I7" s="37"/>
      <x:c r="J7" s="4"/>
      <x:c r="K7" s="5"/>
      <x:c r="L7" s="5"/>
    </x:row>
    <x:row r="8" spans="1:12" ht="13.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5"/>
      <x:c r="L8" s="5"/>
    </x:row>
    <x:row r="9" spans="1:12" ht="13.5" customHeight="1">
      <x:c r="A9" s="7"/>
      <x:c r="B9" s="4"/>
      <x:c r="C9" s="4"/>
      <x:c r="D9" s="4"/>
      <x:c r="E9" s="4"/>
      <x:c r="F9" s="4"/>
      <x:c r="G9" s="4"/>
      <x:c r="H9" s="4"/>
      <x:c r="I9" s="4"/>
      <x:c r="J9" s="4"/>
      <x:c r="K9" s="5"/>
      <x:c r="L9" s="5"/>
    </x:row>
    <x:row r="10" spans="1:12" ht="13.5" customHeight="1">
      <x:c r="A10" s="43" t="s">
        <x:v>9</x:v>
      </x:c>
      <x:c r="B10" s="4"/>
      <x:c r="C10" s="4"/>
      <x:c r="D10" s="4"/>
      <x:c r="E10" s="4"/>
      <x:c r="F10" s="4"/>
      <x:c r="G10" s="4"/>
      <x:c r="H10" s="4"/>
      <x:c r="I10" s="4"/>
      <x:c r="J10" s="44"/>
      <x:c r="K10" s="5"/>
      <x:c r="L10" s="5"/>
    </x:row>
    <x:row r="11" spans="1:12" ht="13.5" customHeight="1">
      <x:c r="A11" s="4"/>
      <x:c r="B11" s="4" t="s">
        <x:v>10</x:v>
      </x:c>
      <x:c r="C11" s="4" t="s">
        <x:v>11</x:v>
      </x:c>
      <x:c r="D11" s="4" t="s">
        <x:v>12</x:v>
      </x:c>
      <x:c r="E11" s="4" t="s">
        <x:v>13</x:v>
      </x:c>
      <x:c r="F11" s="4" t="s">
        <x:v>14</x:v>
      </x:c>
      <x:c r="G11" s="4" t="s">
        <x:v>15</x:v>
      </x:c>
      <x:c r="H11" s="4" t="s">
        <x:v>16</x:v>
      </x:c>
      <x:c r="I11" s="4" t="s">
        <x:v>17</x:v>
      </x:c>
      <x:c r="J11" s="4"/>
      <x:c r="K11" s="5"/>
      <x:c r="L11" s="5"/>
    </x:row>
    <x:row r="12" spans="1:12" ht="13.5" customHeight="1">
      <x:c r="A12" s="4">
        <x:v>1</x:v>
      </x:c>
      <x:c r="B12" s="45">
        <x:v>1</x:v>
      </x:c>
      <x:c r="C12" s="45">
        <x:v>218</x:v>
      </x:c>
      <x:c r="D12" s="46">
        <x:v>2800000</x:v>
      </x:c>
      <x:c r="E12" s="45">
        <x:v>1000</x:v>
      </x:c>
      <x:c r="F12" s="45">
        <x:v>1200</x:v>
      </x:c>
      <x:c r="G12" s="45">
        <x:v>11200</x:v>
      </x:c>
      <x:c r="H12" s="45"/>
      <x:c r="I12" s="45">
        <x:v>320</x:v>
      </x:c>
      <x:c r="K12" s="5"/>
      <x:c r="L12" s="5">
        <x:f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x:f>
      </x:c>
    </x:row>
    <x:row r="13" spans="1:12" ht="13.5" customHeight="1">
      <x:c r="A13" s="4">
        <x:v>2</x:v>
      </x:c>
      <x:c r="B13" s="45">
        <x:v>1</x:v>
      </x:c>
      <x:c r="C13" s="45">
        <x:v>217</x:v>
      </x:c>
      <x:c r="D13" s="45">
        <x:v>634400</x:v>
      </x:c>
      <x:c r="E13" s="45"/>
      <x:c r="F13" s="45">
        <x:v>1600</x:v>
      </x:c>
      <x:c r="G13" s="45"/>
      <x:c r="H13" s="45"/>
      <x:c r="I13" s="45"/>
      <x:c r="K13" s="5"/>
      <x:c r="L13" s="5">
        <x:f>IF(AND(B13="",C13="",D13="",E13="",F13="",G13="",H13="",I13=""),
  "",
  IF(OR(
    AND(B13&lt;&gt;"", C13=""),
    AND(B13="", C13&lt;&gt;""),
    AND(B13&lt;&gt;"", C13&lt;&gt;"", AND(B13&lt;=3, C13&lt;=3), D13="")
  ),
  "Incomplete data",
  IF(
    AND(
      OR(AND(B13&gt;=1, B13&lt;=3), AND(B13&gt;=201, B13&lt;=399)),
      OR(AND(C13&gt;=1, C13&lt;=3), AND(C13&gt;=201, C13&lt;=399)),
      B13&lt;&gt;C13,
      IF(D13&lt;&gt;"", AND(D13&gt;=1, D13&lt;=100000000), TRUE),
      IF(AND(B13&lt;=3, C13&lt;=3), D13&lt;&gt;"", TRUE),
      IF(E13&lt;&gt;"", AND(E13&gt;=1, E13&lt;=500000), TRUE),
      IF(F13&lt;&gt;"", AND(F13&gt;=1, F13&lt;=500000), TRUE),
      IF(G13&lt;&gt;"", AND(G13&gt;=1, G13&lt;=500000), TRUE),
      IF(H13&lt;&gt;"", AND(H13&gt;=1, H13&lt;=500000), TRUE),
      IF(I13&lt;&gt;"", AND(I13&gt;=1, I13&lt;=500000), TRUE),
      IF(AND(B13&gt;=1, B13&lt;=3, C13&gt;=1, C13&lt;=3),
        AND(E13="", F13="", G13="", H13="", I13=""),
        TRUE
      )
    ),
    "Valid",
    IF(NOT(OR(AND(B13&gt;=1, B13&lt;=3), AND(B13&gt;=201, B13&lt;=399))),
      "From must be 1-3 or 201-399",
      IF(NOT(OR(AND(C13&gt;=1, C13&lt;=3), AND(C13&gt;=201, C13&lt;=399))),
        "To must be 1-3 or 201-399",
        IF(B13=C13,
          "From and To cannot be equal",
          IF(AND(B13&lt;=3, C13&lt;=3, D13=""),
            "Louisdore required when From and To are 1-3",
            IF(AND(B13&gt;=1, B13&lt;=3, C13&gt;=1, C13&lt;=3, OR(E13&lt;&gt;"", F13&lt;&gt;"", G13&lt;&gt;"", H13&lt;&gt;"", I13&lt;&gt;"")),
              "Resources cannot be transferred between national warehouses",
              "Check other values"
            )
          )
        )
      )
    )
  )))</x:f>
      </x:c>
    </x:row>
    <x:row r="14" spans="1:12" ht="13.5" customHeight="1">
      <x:c r="A14" s="4">
        <x:v>3</x:v>
      </x:c>
      <x:c r="B14" s="45"/>
      <x:c r="C14" s="45"/>
      <x:c r="D14" s="45"/>
      <x:c r="E14" s="45"/>
      <x:c r="F14" s="45"/>
      <x:c r="G14" s="45"/>
      <x:c r="H14" s="45"/>
      <x:c r="I14" s="45"/>
      <x:c r="K14" s="5"/>
      <x:c r="L14" s="5">
        <x:f>IF(AND(B14="",C14="",D14="",E14="",F14="",G14="",H14="",I14=""),
  "",
  IF(OR(
    AND(B14&lt;&gt;"", C14=""),
    AND(B14="", C14&lt;&gt;""),
    AND(B14&lt;&gt;"", C14&lt;&gt;"", AND(B14&lt;=3, C14&lt;=3), D14="")
  ),
  "Incomplete data",
  IF(
    AND(
      OR(AND(B14&gt;=1, B14&lt;=3), AND(B14&gt;=201, B14&lt;=399)),
      OR(AND(C14&gt;=1, C14&lt;=3), AND(C14&gt;=201, C14&lt;=399)),
      B14&lt;&gt;C14,
      IF(D14&lt;&gt;"", AND(D14&gt;=1, D14&lt;=100000000), TRUE),
      IF(AND(B14&lt;=3, C14&lt;=3), D14&lt;&gt;"", TRUE),
      IF(E14&lt;&gt;"", AND(E14&gt;=1, E14&lt;=500000), TRUE),
      IF(F14&lt;&gt;"", AND(F14&gt;=1, F14&lt;=500000), TRUE),
      IF(G14&lt;&gt;"", AND(G14&gt;=1, G14&lt;=500000), TRUE),
      IF(H14&lt;&gt;"", AND(H14&gt;=1, H14&lt;=500000), TRUE),
      IF(I14&lt;&gt;"", AND(I14&gt;=1, I14&lt;=500000), TRUE),
      IF(AND(B14&gt;=1, B14&lt;=3, C14&gt;=1, C14&lt;=3),
        AND(E14="", F14="", G14="", H14="", I14=""),
        TRUE
      )
    ),
    "Valid",
    IF(NOT(OR(AND(B14&gt;=1, B14&lt;=3), AND(B14&gt;=201, B14&lt;=399))),
      "From must be 1-3 or 201-399",
      IF(NOT(OR(AND(C14&gt;=1, C14&lt;=3), AND(C14&gt;=201, C14&lt;=399))),
        "To must be 1-3 or 201-399",
        IF(B14=C14,
          "From and To cannot be equal",
          IF(AND(B14&lt;=3, C14&lt;=3, D14=""),
            "Louisdore required when From and To are 1-3",
            IF(AND(B14&gt;=1, B14&lt;=3, C14&gt;=1, C14&lt;=3, OR(E14&lt;&gt;"", F14&lt;&gt;"", G14&lt;&gt;"", H14&lt;&gt;"", I14&lt;&gt;"")),
              "Resources cannot be transferred between national warehouses",
              "Check other values"
            )
          )
        )
      )
    )
  )))</x:f>
      </x:c>
    </x:row>
    <x:row r="15" spans="1:12" ht="13.5" customHeight="1">
      <x:c r="A15" s="4">
        <x:v>4</x:v>
      </x:c>
      <x:c r="B15" s="45"/>
      <x:c r="C15" s="45"/>
      <x:c r="D15" s="45"/>
      <x:c r="E15" s="45"/>
      <x:c r="F15" s="45"/>
      <x:c r="G15" s="45"/>
      <x:c r="H15" s="45"/>
      <x:c r="I15" s="45"/>
      <x:c r="K15" s="5"/>
      <x:c r="L15" s="5">
        <x:f>IF(AND(B15="",C15="",D15="",E15="",F15="",G15="",H15="",I15=""),
  "",
  IF(OR(
    AND(B15&lt;&gt;"", C15=""),
    AND(B15="", C15&lt;&gt;""),
    AND(B15&lt;&gt;"", C15&lt;&gt;"", AND(B15&lt;=3, C15&lt;=3), D15="")
  ),
  "Incomplete data",
  IF(
    AND(
      OR(AND(B15&gt;=1, B15&lt;=3), AND(B15&gt;=201, B15&lt;=399)),
      OR(AND(C15&gt;=1, C15&lt;=3), AND(C15&gt;=201, C15&lt;=399)),
      B15&lt;&gt;C15,
      IF(D15&lt;&gt;"", AND(D15&gt;=1, D15&lt;=100000000), TRUE),
      IF(AND(B15&lt;=3, C15&lt;=3), D15&lt;&gt;"", TRUE),
      IF(E15&lt;&gt;"", AND(E15&gt;=1, E15&lt;=500000), TRUE),
      IF(F15&lt;&gt;"", AND(F15&gt;=1, F15&lt;=500000), TRUE),
      IF(G15&lt;&gt;"", AND(G15&gt;=1, G15&lt;=500000), TRUE),
      IF(H15&lt;&gt;"", AND(H15&gt;=1, H15&lt;=500000), TRUE),
      IF(I15&lt;&gt;"", AND(I15&gt;=1, I15&lt;=500000), TRUE),
      IF(AND(B15&gt;=1, B15&lt;=3, C15&gt;=1, C15&lt;=3),
        AND(E15="", F15="", G15="", H15="", I15=""),
        TRUE
      )
    ),
    "Valid",
    IF(NOT(OR(AND(B15&gt;=1, B15&lt;=3), AND(B15&gt;=201, B15&lt;=399))),
      "From must be 1-3 or 201-399",
      IF(NOT(OR(AND(C15&gt;=1, C15&lt;=3), AND(C15&gt;=201, C15&lt;=399))),
        "To must be 1-3 or 201-399",
        IF(B15=C15,
          "From and To cannot be equal",
          IF(AND(B15&lt;=3, C15&lt;=3, D15=""),
            "Louisdore required when From and To are 1-3",
            IF(AND(B15&gt;=1, B15&lt;=3, C15&gt;=1, C15&lt;=3, OR(E15&lt;&gt;"", F15&lt;&gt;"", G15&lt;&gt;"", H15&lt;&gt;"", I15&lt;&gt;"")),
              "Resources cannot be transferred between national warehouses",
              "Check other values"
            )
          )
        )
      )
    )
  )))</x:f>
      </x:c>
    </x:row>
    <x:row r="16" spans="1:12" ht="13.5" customHeight="1">
      <x:c r="A16" s="4">
        <x:v>5</x:v>
      </x:c>
      <x:c r="B16" s="45"/>
      <x:c r="C16" s="45"/>
      <x:c r="D16" s="45"/>
      <x:c r="E16" s="45"/>
      <x:c r="F16" s="45"/>
      <x:c r="G16" s="45"/>
      <x:c r="H16" s="45"/>
      <x:c r="I16" s="45"/>
      <x:c r="K16" s="5"/>
      <x:c r="L16" s="5">
        <x:f>IF(AND(B16="",C16="",D16="",E16="",F16="",G16="",H16="",I16=""),
  "",
  IF(OR(
    AND(B16&lt;&gt;"", C16=""),
    AND(B16="", C16&lt;&gt;""),
    AND(B16&lt;&gt;"", C16&lt;&gt;"", AND(B16&lt;=3, C16&lt;=3), D16="")
  ),
  "Incomplete data",
  IF(
    AND(
      OR(AND(B16&gt;=1, B16&lt;=3), AND(B16&gt;=201, B16&lt;=399)),
      OR(AND(C16&gt;=1, C16&lt;=3), AND(C16&gt;=201, C16&lt;=399)),
      B16&lt;&gt;C16,
      IF(D16&lt;&gt;"", AND(D16&gt;=1, D16&lt;=100000000), TRUE),
      IF(AND(B16&lt;=3, C16&lt;=3), D16&lt;&gt;"", TRUE),
      IF(E16&lt;&gt;"", AND(E16&gt;=1, E16&lt;=500000), TRUE),
      IF(F16&lt;&gt;"", AND(F16&gt;=1, F16&lt;=500000), TRUE),
      IF(G16&lt;&gt;"", AND(G16&gt;=1, G16&lt;=500000), TRUE),
      IF(H16&lt;&gt;"", AND(H16&gt;=1, H16&lt;=500000), TRUE),
      IF(I16&lt;&gt;"", AND(I16&gt;=1, I16&lt;=500000), TRUE),
      IF(AND(B16&gt;=1, B16&lt;=3, C16&gt;=1, C16&lt;=3),
        AND(E16="", F16="", G16="", H16="", I16=""),
        TRUE
      )
    ),
    "Valid",
    IF(NOT(OR(AND(B16&gt;=1, B16&lt;=3), AND(B16&gt;=201, B16&lt;=399))),
      "From must be 1-3 or 201-399",
      IF(NOT(OR(AND(C16&gt;=1, C16&lt;=3), AND(C16&gt;=201, C16&lt;=399))),
        "To must be 1-3 or 201-399",
        IF(B16=C16,
          "From and To cannot be equal",
          IF(AND(B16&lt;=3, C16&lt;=3, D16=""),
            "Louisdore required when From and To are 1-3",
            IF(AND(B16&gt;=1, B16&lt;=3, C16&gt;=1, C16&lt;=3, OR(E16&lt;&gt;"", F16&lt;&gt;"", G16&lt;&gt;"", H16&lt;&gt;"", I16&lt;&gt;"")),
              "Resources cannot be transferred between national warehouses",
              "Check other values"
            )
          )
        )
      )
    )
  )))</x:f>
      </x:c>
    </x:row>
    <x:row r="17" spans="1:12" ht="13.5" customHeight="1">
      <x:c r="A17" s="4">
        <x:v>6</x:v>
      </x:c>
      <x:c r="B17" s="45"/>
      <x:c r="C17" s="45"/>
      <x:c r="D17" s="45"/>
      <x:c r="E17" s="45"/>
      <x:c r="F17" s="45"/>
      <x:c r="G17" s="45"/>
      <x:c r="H17" s="45"/>
      <x:c r="I17" s="45"/>
      <x:c r="K17" s="5"/>
      <x:c r="L17" s="5">
        <x:f>IF(AND(B17="",C17="",D17="",E17="",F17="",G17="",H17="",I17=""),
  "",
  IF(OR(
    AND(B17&lt;&gt;"", C17=""),
    AND(B17="", C17&lt;&gt;""),
    AND(B17&lt;&gt;"", C17&lt;&gt;"", AND(B17&lt;=3, C17&lt;=3), D17="")
  ),
  "Incomplete data",
  IF(
    AND(
      OR(AND(B17&gt;=1, B17&lt;=3), AND(B17&gt;=201, B17&lt;=399)),
      OR(AND(C17&gt;=1, C17&lt;=3), AND(C17&gt;=201, C17&lt;=399)),
      B17&lt;&gt;C17,
      IF(D17&lt;&gt;"", AND(D17&gt;=1, D17&lt;=100000000), TRUE),
      IF(AND(B17&lt;=3, C17&lt;=3), D17&lt;&gt;"", TRUE),
      IF(E17&lt;&gt;"", AND(E17&gt;=1, E17&lt;=500000), TRUE),
      IF(F17&lt;&gt;"", AND(F17&gt;=1, F17&lt;=500000), TRUE),
      IF(G17&lt;&gt;"", AND(G17&gt;=1, G17&lt;=500000), TRUE),
      IF(H17&lt;&gt;"", AND(H17&gt;=1, H17&lt;=500000), TRUE),
      IF(I17&lt;&gt;"", AND(I17&gt;=1, I17&lt;=500000), TRUE),
      IF(AND(B17&gt;=1, B17&lt;=3, C17&gt;=1, C17&lt;=3),
        AND(E17="", F17="", G17="", H17="", I17=""),
        TRUE
      )
    ),
    "Valid",
    IF(NOT(OR(AND(B17&gt;=1, B17&lt;=3), AND(B17&gt;=201, B17&lt;=399))),
      "From must be 1-3 or 201-399",
      IF(NOT(OR(AND(C17&gt;=1, C17&lt;=3), AND(C17&gt;=201, C17&lt;=399))),
        "To must be 1-3 or 201-399",
        IF(B17=C17,
          "From and To cannot be equal",
          IF(AND(B17&lt;=3, C17&lt;=3, D17=""),
            "Louisdore required when From and To are 1-3",
            IF(AND(B17&gt;=1, B17&lt;=3, C17&gt;=1, C17&lt;=3, OR(E17&lt;&gt;"", F17&lt;&gt;"", G17&lt;&gt;"", H17&lt;&gt;"", I17&lt;&gt;"")),
              "Resources cannot be transferred between national warehouses",
              "Check other values"
            )
          )
        )
      )
    )
  )))</x:f>
      </x:c>
    </x:row>
    <x:row r="18" spans="1:12" ht="13.5" customHeight="1">
      <x:c r="A18" s="4">
        <x:v>7</x:v>
      </x:c>
      <x:c r="B18" s="45"/>
      <x:c r="C18" s="45"/>
      <x:c r="D18" s="45"/>
      <x:c r="E18" s="45"/>
      <x:c r="F18" s="45"/>
      <x:c r="G18" s="45"/>
      <x:c r="H18" s="45"/>
      <x:c r="I18" s="45"/>
      <x:c r="K18" s="5"/>
      <x:c r="L18" s="5">
        <x:f>IF(AND(B18="",C18="",D18="",E18="",F18="",G18="",H18="",I18=""),
  "",
  IF(OR(
    AND(B18&lt;&gt;"", C18=""),
    AND(B18="", C18&lt;&gt;""),
    AND(B18&lt;&gt;"", C18&lt;&gt;"", AND(B18&lt;=3, C18&lt;=3), D18="")
  ),
  "Incomplete data",
  IF(
    AND(
      OR(AND(B18&gt;=1, B18&lt;=3), AND(B18&gt;=201, B18&lt;=399)),
      OR(AND(C18&gt;=1, C18&lt;=3), AND(C18&gt;=201, C18&lt;=399)),
      B18&lt;&gt;C18,
      IF(D18&lt;&gt;"", AND(D18&gt;=1, D18&lt;=100000000), TRUE),
      IF(AND(B18&lt;=3, C18&lt;=3), D18&lt;&gt;"", TRUE),
      IF(E18&lt;&gt;"", AND(E18&gt;=1, E18&lt;=500000), TRUE),
      IF(F18&lt;&gt;"", AND(F18&gt;=1, F18&lt;=500000), TRUE),
      IF(G18&lt;&gt;"", AND(G18&gt;=1, G18&lt;=500000), TRUE),
      IF(H18&lt;&gt;"", AND(H18&gt;=1, H18&lt;=500000), TRUE),
      IF(I18&lt;&gt;"", AND(I18&gt;=1, I18&lt;=500000), TRUE),
      IF(AND(B18&gt;=1, B18&lt;=3, C18&gt;=1, C18&lt;=3),
        AND(E18="", F18="", G18="", H18="", I18=""),
        TRUE
      )
    ),
    "Valid",
    IF(NOT(OR(AND(B18&gt;=1, B18&lt;=3), AND(B18&gt;=201, B18&lt;=399))),
      "From must be 1-3 or 201-399",
      IF(NOT(OR(AND(C18&gt;=1, C18&lt;=3), AND(C18&gt;=201, C18&lt;=399))),
        "To must be 1-3 or 201-399",
        IF(B18=C18,
          "From and To cannot be equal",
          IF(AND(B18&lt;=3, C18&lt;=3, D18=""),
            "Louisdore required when From and To are 1-3",
            IF(AND(B18&gt;=1, B18&lt;=3, C18&gt;=1, C18&lt;=3, OR(E18&lt;&gt;"", F18&lt;&gt;"", G18&lt;&gt;"", H18&lt;&gt;"", I18&lt;&gt;"")),
              "Resources cannot be transferred between national warehouses",
              "Check other values"
            )
          )
        )
      )
    )
  )))</x:f>
      </x:c>
    </x:row>
    <x:row r="19" spans="1:12" ht="13.5" customHeight="1">
      <x:c r="A19" s="4">
        <x:v>8</x:v>
      </x:c>
      <x:c r="B19" s="45"/>
      <x:c r="C19" s="45"/>
      <x:c r="D19" s="45"/>
      <x:c r="E19" s="45"/>
      <x:c r="F19" s="45"/>
      <x:c r="G19" s="45"/>
      <x:c r="H19" s="45"/>
      <x:c r="I19" s="45"/>
      <x:c r="K19" s="5"/>
      <x:c r="L19" s="5">
        <x:f>IF(AND(B19="",C19="",D19="",E19="",F19="",G19="",H19="",I19=""),
  "",
  IF(OR(
    AND(B19&lt;&gt;"", C19=""),
    AND(B19="", C19&lt;&gt;""),
    AND(B19&lt;&gt;"", C19&lt;&gt;"", AND(B19&lt;=3, C19&lt;=3), D19="")
  ),
  "Incomplete data",
  IF(
    AND(
      OR(AND(B19&gt;=1, B19&lt;=3), AND(B19&gt;=201, B19&lt;=399)),
      OR(AND(C19&gt;=1, C19&lt;=3), AND(C19&gt;=201, C19&lt;=399)),
      B19&lt;&gt;C19,
      IF(D19&lt;&gt;"", AND(D19&gt;=1, D19&lt;=100000000), TRUE),
      IF(AND(B19&lt;=3, C19&lt;=3), D19&lt;&gt;"", TRUE),
      IF(E19&lt;&gt;"", AND(E19&gt;=1, E19&lt;=500000), TRUE),
      IF(F19&lt;&gt;"", AND(F19&gt;=1, F19&lt;=500000), TRUE),
      IF(G19&lt;&gt;"", AND(G19&gt;=1, G19&lt;=500000), TRUE),
      IF(H19&lt;&gt;"", AND(H19&gt;=1, H19&lt;=500000), TRUE),
      IF(I19&lt;&gt;"", AND(I19&gt;=1, I19&lt;=500000), TRUE),
      IF(AND(B19&gt;=1, B19&lt;=3, C19&gt;=1, C19&lt;=3),
        AND(E19="", F19="", G19="", H19="", I19=""),
        TRUE
      )
    ),
    "Valid",
    IF(NOT(OR(AND(B19&gt;=1, B19&lt;=3), AND(B19&gt;=201, B19&lt;=399))),
      "From must be 1-3 or 201-399",
      IF(NOT(OR(AND(C19&gt;=1, C19&lt;=3), AND(C19&gt;=201, C19&lt;=399))),
        "To must be 1-3 or 201-399",
        IF(B19=C19,
          "From and To cannot be equal",
          IF(AND(B19&lt;=3, C19&lt;=3, D19=""),
            "Louisdore required when From and To are 1-3",
            IF(AND(B19&gt;=1, B19&lt;=3, C19&gt;=1, C19&lt;=3, OR(E19&lt;&gt;"", F19&lt;&gt;"", G19&lt;&gt;"", H19&lt;&gt;"", I19&lt;&gt;"")),
              "Resources cannot be transferred between national warehouses",
              "Check other values"
            )
          )
        )
      )
    )
  )))</x:f>
      </x:c>
    </x:row>
    <x:row r="20" spans="1:12" ht="13.5" customHeight="1">
      <x:c r="A20" s="4">
        <x:v>9</x:v>
      </x:c>
      <x:c r="B20" s="45"/>
      <x:c r="C20" s="45"/>
      <x:c r="D20" s="45"/>
      <x:c r="E20" s="45"/>
      <x:c r="F20" s="45"/>
      <x:c r="G20" s="45"/>
      <x:c r="H20" s="45"/>
      <x:c r="I20" s="45"/>
      <x:c r="K20" s="5"/>
      <x:c r="L20" s="5">
        <x:f>IF(AND(B20="",C20="",D20="",E20="",F20="",G20="",H20="",I20=""),
  "",
  IF(OR(
    AND(B20&lt;&gt;"", C20=""),
    AND(B20="", C20&lt;&gt;""),
    AND(B20&lt;&gt;"", C20&lt;&gt;"", AND(B20&lt;=3, C20&lt;=3), D20="")
  ),
  "Incomplete data",
  IF(
    AND(
      OR(AND(B20&gt;=1, B20&lt;=3), AND(B20&gt;=201, B20&lt;=399)),
      OR(AND(C20&gt;=1, C20&lt;=3), AND(C20&gt;=201, C20&lt;=399)),
      B20&lt;&gt;C20,
      IF(D20&lt;&gt;"", AND(D20&gt;=1, D20&lt;=100000000), TRUE),
      IF(AND(B20&lt;=3, C20&lt;=3), D20&lt;&gt;"", TRUE),
      IF(E20&lt;&gt;"", AND(E20&gt;=1, E20&lt;=500000), TRUE),
      IF(F20&lt;&gt;"", AND(F20&gt;=1, F20&lt;=500000), TRUE),
      IF(G20&lt;&gt;"", AND(G20&gt;=1, G20&lt;=500000), TRUE),
      IF(H20&lt;&gt;"", AND(H20&gt;=1, H20&lt;=500000), TRUE),
      IF(I20&lt;&gt;"", AND(I20&gt;=1, I20&lt;=500000), TRUE),
      IF(AND(B20&gt;=1, B20&lt;=3, C20&gt;=1, C20&lt;=3),
        AND(E20="", F20="", G20="", H20="", I20=""),
        TRUE
      )
    ),
    "Valid",
    IF(NOT(OR(AND(B20&gt;=1, B20&lt;=3), AND(B20&gt;=201, B20&lt;=399))),
      "From must be 1-3 or 201-399",
      IF(NOT(OR(AND(C20&gt;=1, C20&lt;=3), AND(C20&gt;=201, C20&lt;=399))),
        "To must be 1-3 or 201-399",
        IF(B20=C20,
          "From and To cannot be equal",
          IF(AND(B20&lt;=3, C20&lt;=3, D20=""),
            "Louisdore required when From and To are 1-3",
            IF(AND(B20&gt;=1, B20&lt;=3, C20&gt;=1, C20&lt;=3, OR(E20&lt;&gt;"", F20&lt;&gt;"", G20&lt;&gt;"", H20&lt;&gt;"", I20&lt;&gt;"")),
              "Resources cannot be transferred between national warehouses",
              "Check other values"
            )
          )
        )
      )
    )
  )))</x:f>
      </x:c>
    </x:row>
    <x:row r="21" spans="1:12" ht="13.5" customHeight="1">
      <x:c r="A21" s="4">
        <x:v>10</x:v>
      </x:c>
      <x:c r="B21" s="45"/>
      <x:c r="C21" s="45"/>
      <x:c r="D21" s="45"/>
      <x:c r="E21" s="45"/>
      <x:c r="F21" s="45"/>
      <x:c r="G21" s="45"/>
      <x:c r="H21" s="45"/>
      <x:c r="I21" s="45"/>
      <x:c r="K21" s="5"/>
      <x:c r="L21" s="5">
        <x:f>IF(AND(B21="",C21="",D21="",E21="",F21="",G21="",H21="",I21=""),
  "",
  IF(OR(
    AND(B21&lt;&gt;"", C21=""),
    AND(B21="", C21&lt;&gt;""),
    AND(B21&lt;&gt;"", C21&lt;&gt;"", AND(B21&lt;=3, C21&lt;=3), D21="")
  ),
  "Incomplete data",
  IF(
    AND(
      OR(AND(B21&gt;=1, B21&lt;=3), AND(B21&gt;=201, B21&lt;=399)),
      OR(AND(C21&gt;=1, C21&lt;=3), AND(C21&gt;=201, C21&lt;=399)),
      B21&lt;&gt;C21,
      IF(D21&lt;&gt;"", AND(D21&gt;=1, D21&lt;=100000000), TRUE),
      IF(AND(B21&lt;=3, C21&lt;=3), D21&lt;&gt;"", TRUE),
      IF(E21&lt;&gt;"", AND(E21&gt;=1, E21&lt;=500000), TRUE),
      IF(F21&lt;&gt;"", AND(F21&gt;=1, F21&lt;=500000), TRUE),
      IF(G21&lt;&gt;"", AND(G21&gt;=1, G21&lt;=500000), TRUE),
      IF(H21&lt;&gt;"", AND(H21&gt;=1, H21&lt;=500000), TRUE),
      IF(I21&lt;&gt;"", AND(I21&gt;=1, I21&lt;=500000), TRUE),
      IF(AND(B21&gt;=1, B21&lt;=3, C21&gt;=1, C21&lt;=3),
        AND(E21="", F21="", G21="", H21="", I21=""),
        TRUE
      )
    ),
    "Valid",
    IF(NOT(OR(AND(B21&gt;=1, B21&lt;=3), AND(B21&gt;=201, B21&lt;=399))),
      "From must be 1-3 or 201-399",
      IF(NOT(OR(AND(C21&gt;=1, C21&lt;=3), AND(C21&gt;=201, C21&lt;=399))),
        "To must be 1-3 or 201-399",
        IF(B21=C21,
          "From and To cannot be equal",
          IF(AND(B21&lt;=3, C21&lt;=3, D21=""),
            "Louisdore required when From and To are 1-3",
            IF(AND(B21&gt;=1, B21&lt;=3, C21&gt;=1, C21&lt;=3, OR(E21&lt;&gt;"", F21&lt;&gt;"", G21&lt;&gt;"", H21&lt;&gt;"", I21&lt;&gt;"")),
              "Resources cannot be transferred between national warehouses",
              "Check other values"
            )
          )
        )
      )
    )
  )))</x:f>
      </x:c>
    </x:row>
    <x:row r="22" spans="1:12" ht="13.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5"/>
      <x:c r="L22" s="5"/>
    </x:row>
    <x:row r="23" spans="1:12" ht="13.5" customHeight="1">
      <x:c r="A23" s="43" t="s">
        <x:v>18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5"/>
      <x:c r="L23" s="5"/>
    </x:row>
    <x:row r="24" spans="1:12" ht="5.25" customHeight="1">
      <x:c r="A24" s="13"/>
      <x:c r="B24" s="4"/>
      <x:c r="C24" s="4"/>
      <x:c r="D24" s="4"/>
      <x:c r="E24" s="4"/>
      <x:c r="F24" s="4"/>
      <x:c r="G24" s="4"/>
      <x:c r="H24" s="4"/>
      <x:c r="I24" s="4"/>
      <x:c r="J24" s="4"/>
      <x:c r="K24" s="5"/>
      <x:c r="L24" s="5"/>
    </x:row>
    <x:row r="25" spans="1:12" ht="13.5" customHeight="1">
      <x:c r="A25" s="4">
        <x:v>1</x:v>
      </x:c>
      <x:c r="B25" s="47"/>
      <x:c r="C25" s="47"/>
      <x:c r="D25" s="4"/>
      <x:c r="E25" s="4"/>
      <x:c r="F25" s="4"/>
      <x:c r="G25" s="4"/>
      <x:c r="H25" s="4"/>
      <x:c r="I25" s="4"/>
      <x:c r="K25" s="5"/>
      <x:c r="L25" s="5">
        <x:f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6" spans="1:12" ht="13.5" customHeight="1">
      <x:c r="A26" s="4">
        <x:v>2</x:v>
      </x:c>
      <x:c r="B26" s="48"/>
      <x:c r="C26" s="47"/>
      <x:c r="D26" s="4"/>
      <x:c r="E26" s="4"/>
      <x:c r="F26" s="4"/>
      <x:c r="G26" s="4"/>
      <x:c r="H26" s="4"/>
      <x:c r="I26" s="4"/>
      <x:c r="K26" s="5"/>
      <x:c r="L26" s="5">
        <x:f>IF(B26="",
  "",
  IF(OR(
    AND(VALUE(B26)&gt;=1, VALUE(B26)&lt;=10),
    AND(VALUE(B26)&gt;=11, VALUE(B26)&lt;=90),
    AND(VALUE(B26)&gt;=91, VALUE(B26)&lt;=95),
    AND(VALUE(B26)&gt;=201, VALUE(B26)&lt;=399),
    AND(VALUE(B26)&gt;=1001, VALUE(B26)&lt;=3000),
    AND(VALUE(B26)&gt;=4001, VALUE(B26)&lt;=6000)
  ),
    IF(AND(VALUE(B26)&gt;=1, VALUE(B26)&lt;=10, C26=""),
      "Demolishing commanders is not allowed",
      IF(AND(VALUE(B26)&gt;=4001, VALUE(B26)&lt;=6000),
        IF(C26="",
          "Valid",
          IF(AND(VALUE(C26)&gt;=1, VALUE(C26)&lt;=7),
            "Valid",
            "Battalion number must be between 1 and 7"
          )
        ),
        IF(C26="",
          "Valid",
          IF(AND(
            VALUE(B26)&gt;=1, VALUE(B26)&lt;=99,
            VALUE(C26)&gt;=1, VALUE(C26)&lt;=99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7" spans="1:12" ht="13.5" customHeight="1">
      <x:c r="A27" s="4">
        <x:v>3</x:v>
      </x:c>
      <x:c r="B27" s="48"/>
      <x:c r="C27" s="47"/>
      <x:c r="D27" s="4"/>
      <x:c r="E27" s="4"/>
      <x:c r="F27" s="4"/>
      <x:c r="G27" s="4"/>
      <x:c r="H27" s="4"/>
      <x:c r="I27" s="4"/>
      <x:c r="K27" s="5"/>
      <x:c r="L27" s="5">
        <x:f>IF(B27="",
  "",
  IF(OR(
    AND(VALUE(B27)&gt;=1, VALUE(B27)&lt;=10),
    AND(VALUE(B27)&gt;=11, VALUE(B27)&lt;=90),
    AND(VALUE(B27)&gt;=91, VALUE(B27)&lt;=95),
    AND(VALUE(B27)&gt;=201, VALUE(B27)&lt;=399),
    AND(VALUE(B27)&gt;=1001, VALUE(B27)&lt;=3000),
    AND(VALUE(B27)&gt;=4001, VALUE(B27)&lt;=6000)
  ),
    IF(AND(VALUE(B27)&gt;=1, VALUE(B27)&lt;=10, C27=""),
      "Demolishing commanders is not allowed",
      IF(AND(VALUE(B27)&gt;=4001, VALUE(B27)&lt;=6000),
        IF(C27="",
          "Valid",
          IF(AND(VALUE(C27)&gt;=1, VALUE(C27)&lt;=7),
            "Valid",
            "Battalion number must be between 1 and 7"
          )
        ),
        IF(C27="",
          "Valid",
          IF(AND(
            VALUE(B27)&gt;=1, VALUE(B27)&lt;=99,
            VALUE(C27)&gt;=1, VALUE(C27)&lt;=99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8" spans="1:12" ht="13.5" customHeight="1">
      <x:c r="A28" s="4">
        <x:v>4</x:v>
      </x:c>
      <x:c r="B28" s="48"/>
      <x:c r="C28" s="48"/>
      <x:c r="D28" s="4"/>
      <x:c r="E28" s="4"/>
      <x:c r="F28" s="4"/>
      <x:c r="G28" s="4"/>
      <x:c r="H28" s="4"/>
      <x:c r="I28" s="4"/>
      <x:c r="K28" s="5"/>
      <x:c r="L28" s="5">
        <x:f>IF(B28="",
  "",
  IF(OR(
    AND(VALUE(B28)&gt;=1, VALUE(B28)&lt;=10),
    AND(VALUE(B28)&gt;=11, VALUE(B28)&lt;=90),
    AND(VALUE(B28)&gt;=91, VALUE(B28)&lt;=95),
    AND(VALUE(B28)&gt;=201, VALUE(B28)&lt;=399),
    AND(VALUE(B28)&gt;=1001, VALUE(B28)&lt;=3000),
    AND(VALUE(B28)&gt;=4001, VALUE(B28)&lt;=6000)
  ),
    IF(AND(VALUE(B28)&gt;=1, VALUE(B28)&lt;=10, C28=""),
      "Demolishing commanders is not allowed",
      IF(AND(VALUE(B28)&gt;=4001, VALUE(B28)&lt;=6000),
        IF(C28="",
          "Valid",
          IF(AND(VALUE(C28)&gt;=1, VALUE(C28)&lt;=7),
            "Valid",
            "Battalion number must be between 1 and 7"
          )
        ),
        IF(C28="",
          "Valid",
          IF(AND(
            VALUE(B28)&gt;=1, VALUE(B28)&lt;=99,
            VALUE(C28)&gt;=1, VALUE(C28)&lt;=99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9" spans="1:12" ht="13.5" customHeight="1">
      <x:c r="A29" s="4">
        <x:v>5</x:v>
      </x:c>
      <x:c r="B29" s="48"/>
      <x:c r="C29" s="48"/>
      <x:c r="D29" s="4"/>
      <x:c r="E29" s="4"/>
      <x:c r="F29" s="4"/>
      <x:c r="G29" s="4"/>
      <x:c r="H29" s="4"/>
      <x:c r="I29" s="4"/>
      <x:c r="K29" s="5"/>
      <x:c r="L29" s="5">
        <x:f>IF(B29="",
  "",
  IF(OR(
    AND(VALUE(B29)&gt;=1, VALUE(B29)&lt;=10),
    AND(VALUE(B29)&gt;=11, VALUE(B29)&lt;=90),
    AND(VALUE(B29)&gt;=91, VALUE(B29)&lt;=95),
    AND(VALUE(B29)&gt;=201, VALUE(B29)&lt;=399),
    AND(VALUE(B29)&gt;=1001, VALUE(B29)&lt;=3000),
    AND(VALUE(B29)&gt;=4001, VALUE(B29)&lt;=6000)
  ),
    IF(AND(VALUE(B29)&gt;=1, VALUE(B29)&lt;=10, C29=""),
      "Demolishing commanders is not allowed",
      IF(AND(VALUE(B29)&gt;=4001, VALUE(B29)&lt;=6000),
        IF(C29="",
          "Valid",
          IF(AND(VALUE(C29)&gt;=1, VALUE(C29)&lt;=7),
            "Valid",
            "Battalion number must be between 1 and 7"
          )
        ),
        IF(C29="",
          "Valid",
          IF(AND(
            VALUE(B29)&gt;=1, VALUE(B29)&lt;=99,
            VALUE(C29)&gt;=1, VALUE(C29)&lt;=99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30" spans="1:12" ht="13.5" customHeight="1">
      <x:c r="A30" s="4">
        <x:v>6</x:v>
      </x:c>
      <x:c r="B30" s="48"/>
      <x:c r="C30" s="48"/>
      <x:c r="D30" s="4"/>
      <x:c r="E30" s="4"/>
      <x:c r="F30" s="4"/>
      <x:c r="G30" s="4"/>
      <x:c r="H30" s="4"/>
      <x:c r="I30" s="4"/>
      <x:c r="K30" s="5"/>
      <x:c r="L30" s="5">
        <x:f>IF(B30="",
  "",
  IF(OR(
    AND(VALUE(B30)&gt;=1, VALUE(B30)&lt;=10),
    AND(VALUE(B30)&gt;=11, VALUE(B30)&lt;=90),
    AND(VALUE(B30)&gt;=91, VALUE(B30)&lt;=95),
    AND(VALUE(B30)&gt;=201, VALUE(B30)&lt;=399),
    AND(VALUE(B30)&gt;=1001, VALUE(B30)&lt;=3000),
    AND(VALUE(B30)&gt;=4001, VALUE(B30)&lt;=6000)
  ),
    IF(AND(VALUE(B30)&gt;=1, VALUE(B30)&lt;=10, C30=""),
      "Demolishing commanders is not allowed",
      IF(AND(VALUE(B30)&gt;=4001, VALUE(B30)&lt;=6000),
        IF(C30="",
          "Valid",
          IF(AND(VALUE(C30)&gt;=1, VALUE(C30)&lt;=7),
            "Valid",
            "Battalion number must be between 1 and 7"
          )
        ),
        IF(C30="",
          "Valid",
          IF(AND(
            VALUE(B30)&gt;=1, VALUE(B30)&lt;=99,
            VALUE(C30)&gt;=1, VALUE(C30)&lt;=99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31" spans="1:12" ht="13.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5"/>
      <x:c r="L31" s="5"/>
    </x:row>
    <x:row r="32" spans="1:12" ht="13.5" customHeight="1">
      <x:c r="A32" s="43" t="s">
        <x:v>19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5"/>
      <x:c r="L32" s="5"/>
    </x:row>
    <x:row r="33" spans="1:12" ht="13.5" customHeight="1">
      <x:c r="A33" s="4"/>
      <x:c r="B33" s="4" t="s">
        <x:v>20</x:v>
      </x:c>
      <x:c r="C33" s="4" t="s">
        <x:v>21</x:v>
      </x:c>
      <x:c r="D33" s="4" t="s">
        <x:v>22</x:v>
      </x:c>
      <x:c r="E33" s="4" t="s">
        <x:v>23</x:v>
      </x:c>
      <x:c r="F33" s="4" t="s">
        <x:v>24</x:v>
      </x:c>
      <x:c r="G33" s="4" t="s">
        <x:v>25</x:v>
      </x:c>
      <x:c r="H33" s="4" t="s">
        <x:v>26</x:v>
      </x:c>
      <x:c r="I33" s="4" t="s">
        <x:v>27</x:v>
      </x:c>
      <x:c r="J33" s="4" t="s">
        <x:v>28</x:v>
      </x:c>
      <x:c r="K33" s="5"/>
      <x:c r="L33" s="5"/>
    </x:row>
    <x:row r="34" spans="1:12" ht="13.5" customHeight="1">
      <x:c r="A34" s="4">
        <x:v>1</x:v>
      </x:c>
      <x:c r="B34" s="45"/>
      <x:c r="C34" s="45"/>
      <x:c r="D34" s="45"/>
      <x:c r="E34" s="45"/>
      <x:c r="F34" s="45"/>
      <x:c r="G34" s="45"/>
      <x:c r="H34" s="45"/>
      <x:c r="I34" s="45"/>
      <x:c r="J34" s="45"/>
      <x:c r="K34" s="5"/>
      <x:c r="L34" s="5">
        <x:f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x:f>
      </x:c>
    </x:row>
    <x:row r="35" spans="1:12" ht="13.5" customHeight="1">
      <x:c r="A35" s="4">
        <x:v>2</x:v>
      </x:c>
      <x:c r="B35" s="45"/>
      <x:c r="C35" s="45"/>
      <x:c r="D35" s="45"/>
      <x:c r="E35" s="45"/>
      <x:c r="F35" s="45"/>
      <x:c r="G35" s="45"/>
      <x:c r="H35" s="45"/>
      <x:c r="I35" s="45"/>
      <x:c r="J35" s="45"/>
      <x:c r="K35" s="5"/>
      <x:c r="L35" s="5">
        <x:f>IF(AND(B35="",C35="",D35="",E35="",F35="",G35="",H35="",I35="",J35=""),"",
IF(B35="","Depot must be specified",
IF(NOT(AND(VALUE(B35)&gt;=201,VALUE(B35)&lt;=399)),"Depot must be between 201-399",
IF(OR(C35="",D35="",E35="",F35="",G35=""),"First 5 battalions are required",
IF(OR(
  AND(C35&lt;&gt;"",OR(NOT(AND(VALUE(C35)&gt;=1,VALUE(C35)&lt;=45)),MOD(VALUE(C35),2)=0,AND(VALUE(C35)&gt;=91,VALUE(C35)&lt;=95))),
  AND(D35&lt;&gt;"",OR(NOT(AND(VALUE(D35)&gt;=1,VALUE(D35)&lt;=45)),MOD(VALUE(D35),2)=0,AND(VALUE(D35)&gt;=91,VALUE(D35)&lt;=95))),
  AND(E35&lt;&gt;"",OR(NOT(AND(VALUE(E35)&gt;=1,VALUE(E35)&lt;=45)),MOD(VALUE(E35),2)=0,AND(VALUE(E35)&gt;=91,VALUE(E35)&lt;=95))),
  AND(F35&lt;&gt;"",OR(NOT(AND(VALUE(F35)&gt;=1,VALUE(F35)&lt;=45)),MOD(VALUE(F35),2)=0,AND(VALUE(F35)&gt;=91,VALUE(F35)&lt;=95))),
  AND(G35&lt;&gt;"",OR(NOT(AND(VALUE(G35)&gt;=1,VALUE(G35)&lt;=45)),MOD(VALUE(G35),2)=0,AND(VALUE(G35)&gt;=91,VALUE(G35)&lt;=95)))
),"Battalions 1-5 must be odd numbers between 1-45",
IF(AND(H35&lt;&gt;"",OR(NOT(AND(VALUE(H35)&gt;=1,VALUE(H35)&lt;=45)),MOD(VALUE(H35),2)=0,AND(VALUE(H35)&gt;=91,VALUE(H35)&lt;=95))),"Battalion 6 must be odd number between 1-45",
IF(AND(I35&lt;&gt;"",OR(NOT(AND(VALUE(I35)&gt;=1,VALUE(I35)&lt;=45)),MOD(VALUE(I35),2)=0,AND(VALUE(I35)&gt;=91,VALUE(I35)&lt;=95))),"Battalion 7 must be odd number between 1-45 and not spy number",
IF(AND(H35&lt;&gt;"",OR(C35="",D35="",E35="",F35="",G35="")),"Battalion 6 requires all previous battalions",
IF(AND(I35&lt;&gt;"",OR(C35="",D35="",E35="",F35="",G35="",H35="")),"Battalion 7 requires all previous battalions",
IF(J35="","Name is required",
IF(LEN(J35)&gt;15,"Name must not exceed 15 characters","Valid")))))))))))</x:f>
      </x:c>
    </x:row>
    <x:row r="36" spans="1:12" ht="13.5" customHeight="1">
      <x:c r="A36" s="4">
        <x:v>3</x:v>
      </x:c>
      <x:c r="B36" s="45"/>
      <x:c r="C36" s="45"/>
      <x:c r="D36" s="45"/>
      <x:c r="E36" s="45"/>
      <x:c r="F36" s="45"/>
      <x:c r="G36" s="45"/>
      <x:c r="H36" s="45"/>
      <x:c r="I36" s="45"/>
      <x:c r="J36" s="45"/>
      <x:c r="K36" s="5"/>
      <x:c r="L36" s="5">
        <x:f>IF(AND(B36="",C36="",D36="",E36="",F36="",G36="",H36="",I36="",J36=""),"",
IF(B36="","Depot must be specified",
IF(NOT(AND(VALUE(B36)&gt;=201,VALUE(B36)&lt;=399)),"Depot must be between 201-399",
IF(OR(C36="",D36="",E36="",F36="",G36=""),"First 5 battalions are required",
IF(OR(
  AND(C36&lt;&gt;"",OR(NOT(AND(VALUE(C36)&gt;=1,VALUE(C36)&lt;=45)),MOD(VALUE(C36),2)=0,AND(VALUE(C36)&gt;=91,VALUE(C36)&lt;=95))),
  AND(D36&lt;&gt;"",OR(NOT(AND(VALUE(D36)&gt;=1,VALUE(D36)&lt;=45)),MOD(VALUE(D36),2)=0,AND(VALUE(D36)&gt;=91,VALUE(D36)&lt;=95))),
  AND(E36&lt;&gt;"",OR(NOT(AND(VALUE(E36)&gt;=1,VALUE(E36)&lt;=45)),MOD(VALUE(E36),2)=0,AND(VALUE(E36)&gt;=91,VALUE(E36)&lt;=95))),
  AND(F36&lt;&gt;"",OR(NOT(AND(VALUE(F36)&gt;=1,VALUE(F36)&lt;=45)),MOD(VALUE(F36),2)=0,AND(VALUE(F36)&gt;=91,VALUE(F36)&lt;=95))),
  AND(G36&lt;&gt;"",OR(NOT(AND(VALUE(G36)&gt;=1,VALUE(G36)&lt;=45)),MOD(VALUE(G36),2)=0,AND(VALUE(G36)&gt;=91,VALUE(G36)&lt;=95)))
),"Battalions 1-5 must be odd numbers between 1-45",
IF(AND(H36&lt;&gt;"",OR(NOT(AND(VALUE(H36)&gt;=1,VALUE(H36)&lt;=45)),MOD(VALUE(H36),2)=0,AND(VALUE(H36)&gt;=91,VALUE(H36)&lt;=95))),"Battalion 6 must be odd number between 1-45",
IF(AND(I36&lt;&gt;"",OR(NOT(AND(VALUE(I36)&gt;=1,VALUE(I36)&lt;=45)),MOD(VALUE(I36),2)=0,AND(VALUE(I36)&gt;=91,VALUE(I36)&lt;=95))),"Battalion 7 must be odd number between 1-45 and not spy number",
IF(AND(H36&lt;&gt;"",OR(C36="",D36="",E36="",F36="",G36="")),"Battalion 6 requires all previous battalions",
IF(AND(I36&lt;&gt;"",OR(C36="",D36="",E36="",F36="",G36="",H36="")),"Battalion 7 requires all previous battalions",
IF(J36="","Name is required",
IF(LEN(J36)&gt;15,"Name must not exceed 15 characters","Valid")))))))))))</x:f>
      </x:c>
    </x:row>
    <x:row r="37" spans="1:12" ht="13.5" customHeight="1">
      <x:c r="A37" s="4">
        <x:v>4</x:v>
      </x:c>
      <x:c r="B37" s="45"/>
      <x:c r="C37" s="45"/>
      <x:c r="D37" s="45"/>
      <x:c r="E37" s="45"/>
      <x:c r="F37" s="45"/>
      <x:c r="G37" s="45"/>
      <x:c r="H37" s="45"/>
      <x:c r="I37" s="45"/>
      <x:c r="J37" s="45"/>
      <x:c r="K37" s="5"/>
      <x:c r="L37" s="5">
        <x:f>IF(AND(B37="",C37="",D37="",E37="",F37="",G37="",H37="",I37="",J37=""),"",
IF(B37="","Depot must be specified",
IF(NOT(AND(VALUE(B37)&gt;=201,VALUE(B37)&lt;=399)),"Depot must be between 201-399",
IF(OR(C37="",D37="",E37="",F37="",G37=""),"First 5 battalions are required",
IF(OR(
  AND(C37&lt;&gt;"",OR(NOT(AND(VALUE(C37)&gt;=1,VALUE(C37)&lt;=45)),MOD(VALUE(C37),2)=0,AND(VALUE(C37)&gt;=91,VALUE(C37)&lt;=95))),
  AND(D37&lt;&gt;"",OR(NOT(AND(VALUE(D37)&gt;=1,VALUE(D37)&lt;=45)),MOD(VALUE(D37),2)=0,AND(VALUE(D37)&gt;=91,VALUE(D37)&lt;=95))),
  AND(E37&lt;&gt;"",OR(NOT(AND(VALUE(E37)&gt;=1,VALUE(E37)&lt;=45)),MOD(VALUE(E37),2)=0,AND(VALUE(E37)&gt;=91,VALUE(E37)&lt;=95))),
  AND(F37&lt;&gt;"",OR(NOT(AND(VALUE(F37)&gt;=1,VALUE(F37)&lt;=45)),MOD(VALUE(F37),2)=0,AND(VALUE(F37)&gt;=91,VALUE(F37)&lt;=95))),
  AND(G37&lt;&gt;"",OR(NOT(AND(VALUE(G37)&gt;=1,VALUE(G37)&lt;=45)),MOD(VALUE(G37),2)=0,AND(VALUE(G37)&gt;=91,VALUE(G37)&lt;=95)))
),"Battalions 1-5 must be odd numbers between 1-45",
IF(AND(H37&lt;&gt;"",OR(NOT(AND(VALUE(H37)&gt;=1,VALUE(H37)&lt;=45)),MOD(VALUE(H37),2)=0,AND(VALUE(H37)&gt;=91,VALUE(H37)&lt;=95))),"Battalion 6 must be odd number between 1-45",
IF(AND(I37&lt;&gt;"",OR(NOT(AND(VALUE(I37)&gt;=1,VALUE(I37)&lt;=45)),MOD(VALUE(I37),2)=0,AND(VALUE(I37)&gt;=91,VALUE(I37)&lt;=95))),"Battalion 7 must be odd number between 1-45 and not spy number",
IF(AND(H37&lt;&gt;"",OR(C37="",D37="",E37="",F37="",G37="")),"Battalion 6 requires all previous battalions",
IF(AND(I37&lt;&gt;"",OR(C37="",D37="",E37="",F37="",G37="",H37="")),"Battalion 7 requires all previous battalions",
IF(J37="","Name is required",
IF(LEN(J37)&gt;15,"Name must not exceed 15 characters","Valid")))))))))))</x:f>
      </x:c>
    </x:row>
    <x:row r="38" spans="1:12" ht="13.5" customHeight="1">
      <x:c r="A38" s="4">
        <x:v>5</x:v>
      </x:c>
      <x:c r="B38" s="45"/>
      <x:c r="C38" s="45"/>
      <x:c r="D38" s="45"/>
      <x:c r="E38" s="45"/>
      <x:c r="F38" s="45"/>
      <x:c r="G38" s="45"/>
      <x:c r="H38" s="45"/>
      <x:c r="I38" s="45"/>
      <x:c r="J38" s="45"/>
      <x:c r="K38" s="5"/>
      <x:c r="L38" s="5">
        <x:f>IF(AND(B38="",C38="",D38="",E38="",F38="",G38="",H38="",I38="",J38=""),"",
IF(B38="","Depot must be specified",
IF(NOT(AND(VALUE(B38)&gt;=201,VALUE(B38)&lt;=399)),"Depot must be between 201-399",
IF(OR(C38="",D38="",E38="",F38="",G38=""),"First 5 battalions are required",
IF(OR(
  AND(C38&lt;&gt;"",OR(NOT(AND(VALUE(C38)&gt;=1,VALUE(C38)&lt;=45)),MOD(VALUE(C38),2)=0,AND(VALUE(C38)&gt;=91,VALUE(C38)&lt;=95))),
  AND(D38&lt;&gt;"",OR(NOT(AND(VALUE(D38)&gt;=1,VALUE(D38)&lt;=45)),MOD(VALUE(D38),2)=0,AND(VALUE(D38)&gt;=91,VALUE(D38)&lt;=95))),
  AND(E38&lt;&gt;"",OR(NOT(AND(VALUE(E38)&gt;=1,VALUE(E38)&lt;=45)),MOD(VALUE(E38),2)=0,AND(VALUE(E38)&gt;=91,VALUE(E38)&lt;=95))),
  AND(F38&lt;&gt;"",OR(NOT(AND(VALUE(F38)&gt;=1,VALUE(F38)&lt;=45)),MOD(VALUE(F38),2)=0,AND(VALUE(F38)&gt;=91,VALUE(F38)&lt;=95))),
  AND(G38&lt;&gt;"",OR(NOT(AND(VALUE(G38)&gt;=1,VALUE(G38)&lt;=45)),MOD(VALUE(G38),2)=0,AND(VALUE(G38)&gt;=91,VALUE(G38)&lt;=95)))
),"Battalions 1-5 must be odd numbers between 1-45",
IF(AND(H38&lt;&gt;"",OR(NOT(AND(VALUE(H38)&gt;=1,VALUE(H38)&lt;=45)),MOD(VALUE(H38),2)=0,AND(VALUE(H38)&gt;=91,VALUE(H38)&lt;=95))),"Battalion 6 must be odd number between 1-45",
IF(AND(I38&lt;&gt;"",OR(NOT(AND(VALUE(I38)&gt;=1,VALUE(I38)&lt;=45)),MOD(VALUE(I38),2)=0,AND(VALUE(I38)&gt;=91,VALUE(I38)&lt;=95))),"Battalion 7 must be odd number between 1-45 and not spy number",
IF(AND(H38&lt;&gt;"",OR(C38="",D38="",E38="",F38="",G38="")),"Battalion 6 requires all previous battalions",
IF(AND(I38&lt;&gt;"",OR(C38="",D38="",E38="",F38="",G38="",H38="")),"Battalion 7 requires all previous battalions",
IF(J38="","Name is required",
IF(LEN(J38)&gt;15,"Name must not exceed 15 characters","Valid")))))))))))</x:f>
      </x:c>
    </x:row>
    <x:row r="39" spans="1:12" ht="13.5" customHeight="1">
      <x:c r="A39" s="4">
        <x:v>6</x:v>
      </x:c>
      <x:c r="B39" s="45"/>
      <x:c r="C39" s="45"/>
      <x:c r="D39" s="45"/>
      <x:c r="E39" s="45"/>
      <x:c r="F39" s="45"/>
      <x:c r="G39" s="49"/>
      <x:c r="H39" s="45"/>
      <x:c r="I39" s="45"/>
      <x:c r="J39" s="49"/>
      <x:c r="K39" s="5"/>
      <x:c r="L39" s="5">
        <x:f>IF(AND(B39="",C39="",D39="",E39="",F39="",G39="",H39="",I39="",J39=""),"",
IF(B39="","Depot must be specified",
IF(NOT(AND(VALUE(B39)&gt;=201,VALUE(B39)&lt;=399)),"Depot must be between 201-399",
IF(OR(C39="",D39="",E39="",F39="",G39=""),"First 5 battalions are required",
IF(OR(
  AND(C39&lt;&gt;"",OR(NOT(AND(VALUE(C39)&gt;=1,VALUE(C39)&lt;=45)),MOD(VALUE(C39),2)=0,AND(VALUE(C39)&gt;=91,VALUE(C39)&lt;=95))),
  AND(D39&lt;&gt;"",OR(NOT(AND(VALUE(D39)&gt;=1,VALUE(D39)&lt;=45)),MOD(VALUE(D39),2)=0,AND(VALUE(D39)&gt;=91,VALUE(D39)&lt;=95))),
  AND(E39&lt;&gt;"",OR(NOT(AND(VALUE(E39)&gt;=1,VALUE(E39)&lt;=45)),MOD(VALUE(E39),2)=0,AND(VALUE(E39)&gt;=91,VALUE(E39)&lt;=95))),
  AND(F39&lt;&gt;"",OR(NOT(AND(VALUE(F39)&gt;=1,VALUE(F39)&lt;=45)),MOD(VALUE(F39),2)=0,AND(VALUE(F39)&gt;=91,VALUE(F39)&lt;=95))),
  AND(G39&lt;&gt;"",OR(NOT(AND(VALUE(G39)&gt;=1,VALUE(G39)&lt;=45)),MOD(VALUE(G39),2)=0,AND(VALUE(G39)&gt;=91,VALUE(G39)&lt;=95)))
),"Battalions 1-5 must be odd numbers between 1-45",
IF(AND(H39&lt;&gt;"",OR(NOT(AND(VALUE(H39)&gt;=1,VALUE(H39)&lt;=45)),MOD(VALUE(H39),2)=0,AND(VALUE(H39)&gt;=91,VALUE(H39)&lt;=95))),"Battalion 6 must be odd number between 1-45",
IF(AND(I39&lt;&gt;"",OR(NOT(AND(VALUE(I39)&gt;=1,VALUE(I39)&lt;=45)),MOD(VALUE(I39),2)=0,AND(VALUE(I39)&gt;=91,VALUE(I39)&lt;=95))),"Battalion 7 must be odd number between 1-45 and not spy number",
IF(AND(H39&lt;&gt;"",OR(C39="",D39="",E39="",F39="",G39="")),"Battalion 6 requires all previous battalions",
IF(AND(I39&lt;&gt;"",OR(C39="",D39="",E39="",F39="",G39="",H39="")),"Battalion 7 requires all previous battalions",
IF(J39="","Name is required",
IF(LEN(J39)&gt;15,"Name must not exceed 15 characters","Valid")))))))))))</x:f>
      </x:c>
    </x:row>
    <x:row r="40" spans="1:12" ht="13.5" customHeight="1">
      <x:c r="A40" s="4">
        <x:v>7</x:v>
      </x:c>
      <x:c r="B40" s="45"/>
      <x:c r="C40" s="45"/>
      <x:c r="D40" s="45"/>
      <x:c r="E40" s="45"/>
      <x:c r="F40" s="45"/>
      <x:c r="G40" s="45"/>
      <x:c r="H40" s="45"/>
      <x:c r="I40" s="45"/>
      <x:c r="J40" s="45"/>
      <x:c r="K40" s="5"/>
      <x:c r="L40" s="5">
        <x:f>IF(AND(B40="",C40="",D40="",E40="",F40="",G40="",H40="",I40="",J40=""),"",
IF(B40="","Depot must be specified",
IF(NOT(AND(VALUE(B40)&gt;=201,VALUE(B40)&lt;=399)),"Depot must be between 201-399",
IF(OR(C40="",D40="",E40="",F40="",G40=""),"First 5 battalions are required",
IF(OR(
  AND(C40&lt;&gt;"",OR(NOT(AND(VALUE(C40)&gt;=1,VALUE(C40)&lt;=45)),MOD(VALUE(C40),2)=0,AND(VALUE(C40)&gt;=91,VALUE(C40)&lt;=95))),
  AND(D40&lt;&gt;"",OR(NOT(AND(VALUE(D40)&gt;=1,VALUE(D40)&lt;=45)),MOD(VALUE(D40),2)=0,AND(VALUE(D40)&gt;=91,VALUE(D40)&lt;=95))),
  AND(E40&lt;&gt;"",OR(NOT(AND(VALUE(E40)&gt;=1,VALUE(E40)&lt;=45)),MOD(VALUE(E40),2)=0,AND(VALUE(E40)&gt;=91,VALUE(E40)&lt;=95))),
  AND(F40&lt;&gt;"",OR(NOT(AND(VALUE(F40)&gt;=1,VALUE(F40)&lt;=45)),MOD(VALUE(F40),2)=0,AND(VALUE(F40)&gt;=91,VALUE(F40)&lt;=95))),
  AND(G40&lt;&gt;"",OR(NOT(AND(VALUE(G40)&gt;=1,VALUE(G40)&lt;=45)),MOD(VALUE(G40),2)=0,AND(VALUE(G40)&gt;=91,VALUE(G40)&lt;=95)))
),"Battalions 1-5 must be odd numbers between 1-45",
IF(AND(H40&lt;&gt;"",OR(NOT(AND(VALUE(H40)&gt;=1,VALUE(H40)&lt;=45)),MOD(VALUE(H40),2)=0,AND(VALUE(H40)&gt;=91,VALUE(H40)&lt;=95))),"Battalion 6 must be odd number between 1-45",
IF(AND(I40&lt;&gt;"",OR(NOT(AND(VALUE(I40)&gt;=1,VALUE(I40)&lt;=45)),MOD(VALUE(I40),2)=0,AND(VALUE(I40)&gt;=91,VALUE(I40)&lt;=95))),"Battalion 7 must be odd number between 1-45 and not spy number",
IF(AND(H40&lt;&gt;"",OR(C40="",D40="",E40="",F40="",G40="")),"Battalion 6 requires all previous battalions",
IF(AND(I40&lt;&gt;"",OR(C40="",D40="",E40="",F40="",G40="",H40="")),"Battalion 7 requires all previous battalions",
IF(J40="","Name is required",
IF(LEN(J40)&gt;15,"Name must not exceed 15 characters","Valid")))))))))))</x:f>
      </x:c>
    </x:row>
    <x:row r="41" spans="1:12" ht="13.5" customHeight="1">
      <x:c r="A41" s="4">
        <x:v>8</x:v>
      </x:c>
      <x:c r="B41" s="45"/>
      <x:c r="C41" s="45"/>
      <x:c r="D41" s="45"/>
      <x:c r="E41" s="45"/>
      <x:c r="F41" s="45"/>
      <x:c r="G41" s="45"/>
      <x:c r="H41" s="45"/>
      <x:c r="I41" s="45"/>
      <x:c r="J41" s="45"/>
      <x:c r="K41" s="5"/>
      <x:c r="L41" s="5">
        <x:f>IF(AND(B41="",C41="",D41="",E41="",F41="",G41="",H41="",I41="",J41=""),"",
IF(B41="","Depot must be specified",
IF(NOT(AND(VALUE(B41)&gt;=201,VALUE(B41)&lt;=399)),"Depot must be between 201-399",
IF(OR(C41="",D41="",E41="",F41="",G41=""),"First 5 battalions are required",
IF(OR(
  AND(C41&lt;&gt;"",OR(NOT(AND(VALUE(C41)&gt;=1,VALUE(C41)&lt;=45)),MOD(VALUE(C41),2)=0,AND(VALUE(C41)&gt;=91,VALUE(C41)&lt;=95))),
  AND(D41&lt;&gt;"",OR(NOT(AND(VALUE(D41)&gt;=1,VALUE(D41)&lt;=45)),MOD(VALUE(D41),2)=0,AND(VALUE(D41)&gt;=91,VALUE(D41)&lt;=95))),
  AND(E41&lt;&gt;"",OR(NOT(AND(VALUE(E41)&gt;=1,VALUE(E41)&lt;=45)),MOD(VALUE(E41),2)=0,AND(VALUE(E41)&gt;=91,VALUE(E41)&lt;=95))),
  AND(F41&lt;&gt;"",OR(NOT(AND(VALUE(F41)&gt;=1,VALUE(F41)&lt;=45)),MOD(VALUE(F41),2)=0,AND(VALUE(F41)&gt;=91,VALUE(F41)&lt;=95))),
  AND(G41&lt;&gt;"",OR(NOT(AND(VALUE(G41)&gt;=1,VALUE(G41)&lt;=45)),MOD(VALUE(G41),2)=0,AND(VALUE(G41)&gt;=91,VALUE(G41)&lt;=95)))
),"Battalions 1-5 must be odd numbers between 1-45",
IF(AND(H41&lt;&gt;"",OR(NOT(AND(VALUE(H41)&gt;=1,VALUE(H41)&lt;=45)),MOD(VALUE(H41),2)=0,AND(VALUE(H41)&gt;=91,VALUE(H41)&lt;=95))),"Battalion 6 must be odd number between 1-45",
IF(AND(I41&lt;&gt;"",OR(NOT(AND(VALUE(I41)&gt;=1,VALUE(I41)&lt;=45)),MOD(VALUE(I41),2)=0,AND(VALUE(I41)&gt;=91,VALUE(I41)&lt;=95))),"Battalion 7 must be odd number between 1-45 and not spy number",
IF(AND(H41&lt;&gt;"",OR(C41="",D41="",E41="",F41="",G41="")),"Battalion 6 requires all previous battalions",
IF(AND(I41&lt;&gt;"",OR(C41="",D41="",E41="",F41="",G41="",H41="")),"Battalion 7 requires all previous battalions",
IF(J41="","Name is required",
IF(LEN(J41)&gt;15,"Name must not exceed 15 characters","Valid")))))))))))</x:f>
      </x:c>
    </x:row>
    <x:row r="42" spans="1:12" ht="13.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5"/>
      <x:c r="L42" s="5"/>
    </x:row>
    <x:row r="43" spans="1:12" ht="13.5" customHeight="1">
      <x:c r="A43" s="43" t="s">
        <x:v>29</x:v>
      </x:c>
      <x:c r="B43" s="4"/>
      <x:c r="C43" s="4"/>
      <x:c r="D43" s="4"/>
      <x:c r="E43" s="4"/>
      <x:c r="F43" s="4"/>
      <x:c r="G43" s="4"/>
      <x:c r="H43" s="4"/>
      <x:c r="I43" s="4"/>
      <x:c r="J43" s="4"/>
      <x:c r="K43" s="5"/>
      <x:c r="L43" s="5"/>
    </x:row>
    <x:row r="44" spans="1:12" ht="5.25" customHeight="1">
      <x:c r="A44" s="13"/>
      <x:c r="B44" s="4"/>
      <x:c r="C44" s="4"/>
      <x:c r="D44" s="4"/>
      <x:c r="E44" s="4"/>
      <x:c r="F44" s="4"/>
      <x:c r="G44" s="4"/>
      <x:c r="H44" s="4"/>
      <x:c r="I44" s="4"/>
      <x:c r="J44" s="4"/>
      <x:c r="K44" s="5"/>
      <x:c r="L44" s="5"/>
    </x:row>
    <x:row r="45" spans="1:12" ht="13.5" customHeight="1">
      <x:c r="A45" s="4">
        <x:v>1</x:v>
      </x:c>
      <x:c r="B45" s="45"/>
      <x:c r="C45" s="45"/>
      <x:c r="D45" s="4"/>
      <x:c r="E45" s="4"/>
      <x:c r="F45" s="4"/>
      <x:c r="G45" s="4"/>
      <x:c r="H45" s="4"/>
      <x:c r="I45" s="4"/>
      <x:c r="J45" s="4"/>
      <x:c r="K45" s="5"/>
      <x:c r="L45" s="5">
        <x:f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x:f>
      </x:c>
    </x:row>
    <x:row r="46" spans="1:12" ht="13.5" customHeight="1">
      <x:c r="A46" s="4">
        <x:v>2</x:v>
      </x:c>
      <x:c r="B46" s="45"/>
      <x:c r="C46" s="45"/>
      <x:c r="D46" s="4"/>
      <x:c r="E46" s="4"/>
      <x:c r="F46" s="4"/>
      <x:c r="G46" s="4"/>
      <x:c r="H46" s="4"/>
      <x:c r="I46" s="4"/>
      <x:c r="J46" s="4"/>
      <x:c r="K46" s="5"/>
      <x:c r="L46" s="5">
        <x:f>IF(AND(B46="",C46=""),
  "",
  IF(B46="",
    "Brigade field must be specified",
    IF(NOT(AND(VALUE(B46)&gt;=4001,VALUE(B46)&lt;=5999)),
      "Brigade must be between 4001-5999",
      IF(C46="",
        "Battalion Type must be specified",
        IF(NOT(AND(VALUE(C46)&gt;=1,VALUE(C46)&lt;=45)),
          "Battalion Type must be between 1-45",
          "Valid"
        )
      )
    )
  )
)</x:f>
      </x:c>
    </x:row>
    <x:row r="47" spans="1:12" ht="13.5" customHeight="1">
      <x:c r="A47" s="4">
        <x:v>3</x:v>
      </x:c>
      <x:c r="B47" s="49"/>
      <x:c r="C47" s="49"/>
      <x:c r="D47" s="4"/>
      <x:c r="E47" s="4"/>
      <x:c r="F47" s="4"/>
      <x:c r="G47" s="4"/>
      <x:c r="H47" s="4"/>
      <x:c r="I47" s="4"/>
      <x:c r="J47" s="4"/>
      <x:c r="K47" s="5"/>
      <x:c r="L47" s="5">
        <x:f>IF(AND(B47="",C47=""),
  "",
  IF(B47="",
    "Brigade field must be specified",
    IF(NOT(AND(VALUE(B47)&gt;=4001,VALUE(B47)&lt;=5999)),
      "Brigade must be between 4001-5999",
      IF(C47="",
        "Battalion Type must be specified",
        IF(NOT(AND(VALUE(C47)&gt;=1,VALUE(C47)&lt;=45)),
          "Battalion Type must be between 1-45",
          "Valid"
        )
      )
    )
  )
)</x:f>
      </x:c>
    </x:row>
    <x:row r="48" spans="1:12" ht="13.5" customHeight="1">
      <x:c r="A48" s="4">
        <x:v>4</x:v>
      </x:c>
      <x:c r="B48" s="49"/>
      <x:c r="C48" s="49"/>
      <x:c r="D48" s="4"/>
      <x:c r="E48" s="4"/>
      <x:c r="F48" s="4"/>
      <x:c r="G48" s="4"/>
      <x:c r="H48" s="4"/>
      <x:c r="I48" s="4"/>
      <x:c r="J48" s="4"/>
      <x:c r="K48" s="5"/>
      <x:c r="L48" s="5">
        <x:f>IF(AND(B48="",C48=""),
  "",
  IF(B48="",
    "Brigade field must be specified",
    IF(NOT(AND(VALUE(B48)&gt;=4001,VALUE(B48)&lt;=5999)),
      "Brigade must be between 4001-5999",
      IF(C48="",
        "Battalion Type must be specified",
        IF(NOT(AND(VALUE(C48)&gt;=1,VALUE(C48)&lt;=45)),
          "Battalion Type must be between 1-45",
          "Valid"
        )
      )
    )
  )
)</x:f>
      </x:c>
    </x:row>
    <x:row r="49" spans="1:12" ht="13.5" customHeight="1">
      <x:c r="A49" s="4">
        <x:v>5</x:v>
      </x:c>
      <x:c r="B49" s="45"/>
      <x:c r="C49" s="45"/>
      <x:c r="D49" s="4"/>
      <x:c r="E49" s="4"/>
      <x:c r="F49" s="4"/>
      <x:c r="G49" s="4"/>
      <x:c r="H49" s="4"/>
      <x:c r="I49" s="4"/>
      <x:c r="J49" s="4"/>
      <x:c r="K49" s="5"/>
      <x:c r="L49" s="5">
        <x:f>IF(AND(B49="",C49=""),
  "",
  IF(B49="",
    "Brigade field must be specified",
    IF(NOT(AND(VALUE(B49)&gt;=4001,VALUE(B49)&lt;=5999)),
      "Brigade must be between 4001-5999",
      IF(C49="",
        "Battalion Type must be specified",
        IF(NOT(AND(VALUE(C49)&gt;=1,VALUE(C49)&lt;=45)),
          "Battalion Type must be between 1-45",
          "Valid"
        )
      )
    )
  )
)</x:f>
      </x:c>
    </x:row>
    <x:row r="50" spans="1:12" ht="13.5" customHeight="1">
      <x:c r="A50" s="4">
        <x:v>6</x:v>
      </x:c>
      <x:c r="B50" s="45"/>
      <x:c r="C50" s="45"/>
      <x:c r="D50" s="4"/>
      <x:c r="E50" s="4"/>
      <x:c r="F50" s="4"/>
      <x:c r="G50" s="4"/>
      <x:c r="H50" s="4"/>
      <x:c r="I50" s="4"/>
      <x:c r="J50" s="4"/>
      <x:c r="K50" s="5"/>
      <x:c r="L50" s="5">
        <x:f>IF(AND(B50="",C50=""),
  "",
  IF(B50="",
    "Brigade field must be specified",
    IF(NOT(AND(VALUE(B50)&gt;=4001,VALUE(B50)&lt;=5999)),
      "Brigade must be between 4001-5999",
      IF(C50="",
        "Battalion Type must be specified",
        IF(NOT(AND(VALUE(C50)&gt;=1,VALUE(C50)&lt;=45)),
          "Battalion Type must be between 1-45",
          "Valid"
        )
      )
    )
  )
)</x:f>
      </x:c>
    </x:row>
    <x:row r="51" spans="1:12" ht="13.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5"/>
      <x:c r="L51" s="5"/>
    </x:row>
    <x:row r="52" spans="1:12" ht="13.5" customHeight="1">
      <x:c r="A52" s="43" t="s">
        <x:v>30</x:v>
      </x:c>
      <x:c r="B52" s="4"/>
      <x:c r="C52" s="4"/>
      <x:c r="D52" s="4"/>
      <x:c r="E52" s="4"/>
      <x:c r="F52" s="4"/>
      <x:c r="G52" s="4"/>
      <x:c r="H52" s="4"/>
      <x:c r="I52" s="4"/>
      <x:c r="J52" s="4"/>
      <x:c r="K52" s="5"/>
      <x:c r="L52" s="5"/>
    </x:row>
    <x:row r="53" spans="1:12" ht="14.25" customHeight="1">
      <x:c r="A53" s="13"/>
      <x:c r="B53" s="7"/>
      <x:c r="C53" s="4"/>
      <x:c r="D53" s="4"/>
      <x:c r="E53" s="4"/>
      <x:c r="F53" s="4"/>
      <x:c r="G53" s="4"/>
      <x:c r="H53" s="4"/>
      <x:c r="I53" s="4"/>
      <x:c r="J53" s="4"/>
      <x:c r="K53" s="5"/>
      <x:c r="L53" s="5"/>
    </x:row>
    <x:row r="54" spans="1:12" ht="13.5" customHeight="1">
      <x:c r="A54" s="4">
        <x:v>1</x:v>
      </x:c>
      <x:c r="B54" s="49"/>
      <x:c r="C54" s="45"/>
      <x:c r="D54" s="4"/>
      <x:c r="E54" s="4"/>
      <x:c r="F54" s="4"/>
      <x:c r="G54" s="4"/>
      <x:c r="H54" s="4"/>
      <x:c r="I54" s="4"/>
      <x:c r="J54" s="4"/>
      <x:c r="K54" s="5"/>
      <x:c r="L54" s="5">
        <x:f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x:f>
      </x:c>
    </x:row>
    <x:row r="55" spans="1:12" ht="13.5" customHeight="1">
      <x:c r="A55" s="4">
        <x:v>2</x:v>
      </x:c>
      <x:c r="B55" s="49"/>
      <x:c r="C55" s="45"/>
      <x:c r="D55" s="4"/>
      <x:c r="E55" s="4"/>
      <x:c r="F55" s="4"/>
      <x:c r="G55" s="4"/>
      <x:c r="H55" s="4"/>
      <x:c r="I55" s="4"/>
      <x:c r="J55" s="4"/>
      <x:c r="K55" s="5"/>
      <x:c r="L55" s="5">
        <x:f>IF(AND(B55="",C55=""),
  "",
  IF(B55="",
    "Brigade/Federation field must be specified",
    IF(NOT(OR(
      AND(VALUE(B55)&gt;=61,VALUE(B55)&lt;=90),
      AND(VALUE(B55)&gt;=4001,VALUE(B55)&lt;=5999)
    )),
      "Brigade/Federation must be between 61-90 or 4001-5999",
      IF(C55="",
        "Men field must be specified",
        IF(NOT(AND(VALUE(C55)&gt;=1,VALUE(C55)&lt;=800)),
          "Men must be between 1-800",
          "Valid"
        )
      )
    )
  )
)</x:f>
      </x:c>
    </x:row>
    <x:row r="56" spans="1:12" ht="13.5" customHeight="1">
      <x:c r="A56" s="4">
        <x:v>3</x:v>
      </x:c>
      <x:c r="B56" s="49"/>
      <x:c r="C56" s="49"/>
      <x:c r="D56" s="4"/>
      <x:c r="E56" s="4"/>
      <x:c r="F56" s="4"/>
      <x:c r="G56" s="4"/>
      <x:c r="H56" s="4"/>
      <x:c r="I56" s="4"/>
      <x:c r="J56" s="4"/>
      <x:c r="K56" s="5"/>
      <x:c r="L56" s="5">
        <x:f>IF(AND(B56="",C56=""),
  "",
  IF(B56="",
    "Brigade/Federation field must be specified",
    IF(NOT(OR(
      AND(VALUE(B56)&gt;=61,VALUE(B56)&lt;=90),
      AND(VALUE(B56)&gt;=4001,VALUE(B56)&lt;=5999)
    )),
      "Brigade/Federation must be between 61-90 or 4001-5999",
      IF(C56="",
        "Men field must be specified",
        IF(NOT(AND(VALUE(C56)&gt;=1,VALUE(C56)&lt;=800)),
          "Men must be between 1-800",
          "Valid"
        )
      )
    )
  )
)</x:f>
      </x:c>
    </x:row>
    <x:row r="57" spans="1:12" ht="13.5" customHeight="1">
      <x:c r="A57" s="4">
        <x:v>4</x:v>
      </x:c>
      <x:c r="B57" s="45"/>
      <x:c r="C57" s="45"/>
      <x:c r="D57" s="4"/>
      <x:c r="E57" s="4"/>
      <x:c r="F57" s="4"/>
      <x:c r="G57" s="4"/>
      <x:c r="H57" s="4"/>
      <x:c r="I57" s="4"/>
      <x:c r="J57" s="4"/>
      <x:c r="K57" s="5"/>
      <x:c r="L57" s="5">
        <x:f>IF(AND(B57="",C57=""),
  "",
  IF(B57="",
    "Brigade/Federation field must be specified",
    IF(NOT(OR(
      AND(VALUE(B57)&gt;=61,VALUE(B57)&lt;=90),
      AND(VALUE(B57)&gt;=4001,VALUE(B57)&lt;=5999)
    )),
      "Brigade/Federation must be between 61-90 or 4001-5999",
      IF(C57="",
        "Men field must be specified",
        IF(NOT(AND(VALUE(C57)&gt;=1,VALUE(C57)&lt;=800)),
          "Men must be between 1-800",
          "Valid"
        )
      )
    )
  )
)</x:f>
      </x:c>
    </x:row>
    <x:row r="58" spans="1:12" ht="13.5" customHeight="1">
      <x:c r="A58" s="4">
        <x:v>5</x:v>
      </x:c>
      <x:c r="B58" s="45"/>
      <x:c r="C58" s="45"/>
      <x:c r="D58" s="4"/>
      <x:c r="E58" s="4"/>
      <x:c r="F58" s="4"/>
      <x:c r="G58" s="4"/>
      <x:c r="H58" s="4"/>
      <x:c r="I58" s="4"/>
      <x:c r="J58" s="4"/>
      <x:c r="K58" s="5"/>
      <x:c r="L58" s="5">
        <x:f>IF(AND(B58="",C58=""),
  "",
  IF(B58="",
    "Brigade/Federation field must be specified",
    IF(NOT(OR(
      AND(VALUE(B58)&gt;=61,VALUE(B58)&lt;=90),
      AND(VALUE(B58)&gt;=4001,VALUE(B58)&lt;=5999)
    )),
      "Brigade/Federation must be between 61-90 or 4001-5999",
      IF(C58="",
        "Men field must be specified",
        IF(NOT(AND(VALUE(C58)&gt;=1,VALUE(C58)&lt;=800)),
          "Men must be between 1-800",
          "Valid"
        )
      )
    )
  )
)</x:f>
      </x:c>
    </x:row>
    <x:row r="59" spans="1:12" ht="13.5" customHeight="1">
      <x:c r="A59" s="4">
        <x:v>6</x:v>
      </x:c>
      <x:c r="B59" s="45"/>
      <x:c r="C59" s="45"/>
      <x:c r="D59" s="4"/>
      <x:c r="E59" s="4"/>
      <x:c r="F59" s="4"/>
      <x:c r="G59" s="4"/>
      <x:c r="H59" s="4"/>
      <x:c r="I59" s="4"/>
      <x:c r="J59" s="4"/>
      <x:c r="K59" s="5"/>
      <x:c r="L59" s="5">
        <x:f>IF(AND(B59="",C59=""),
  "",
  IF(B59="",
    "Brigade/Federation field must be specified",
    IF(NOT(OR(
      AND(VALUE(B59)&gt;=61,VALUE(B59)&lt;=90),
      AND(VALUE(B59)&gt;=4001,VALUE(B59)&lt;=5999)
    )),
      "Brigade/Federation must be between 61-90 or 4001-5999",
      IF(C59="",
        "Men field must be specified",
        IF(NOT(AND(VALUE(C59)&gt;=1,VALUE(C59)&lt;=800)),
          "Men must be between 1-800",
          "Valid"
        )
      )
    )
  )
)</x:f>
      </x:c>
    </x:row>
    <x:row r="60" spans="1:12" ht="13.5" customHeight="1">
      <x:c r="A60" s="4">
        <x:v>7</x:v>
      </x:c>
      <x:c r="B60" s="45"/>
      <x:c r="C60" s="45"/>
      <x:c r="D60" s="4"/>
      <x:c r="E60" s="4"/>
      <x:c r="F60" s="4"/>
      <x:c r="G60" s="4"/>
      <x:c r="H60" s="4"/>
      <x:c r="I60" s="4"/>
      <x:c r="J60" s="4"/>
      <x:c r="K60" s="5"/>
      <x:c r="L60" s="5">
        <x:f>IF(AND(B60="",C60=""),
  "",
  IF(B60="",
    "Brigade/Federation field must be specified",
    IF(NOT(OR(
      AND(VALUE(B60)&gt;=61,VALUE(B60)&lt;=90),
      AND(VALUE(B60)&gt;=4001,VALUE(B60)&lt;=5999)
    )),
      "Brigade/Federation must be between 61-90 or 4001-5999",
      IF(C60="",
        "Men field must be specified",
        IF(NOT(AND(VALUE(C60)&gt;=1,VALUE(C60)&lt;=800)),
          "Men must be between 1-800",
          "Valid"
        )
      )
    )
  )
)</x:f>
      </x:c>
    </x:row>
    <x:row r="61" spans="1:12" ht="13.5" customHeight="1">
      <x:c r="A61" s="4">
        <x:v>8</x:v>
      </x:c>
      <x:c r="B61" s="45"/>
      <x:c r="C61" s="45"/>
      <x:c r="D61" s="4"/>
      <x:c r="E61" s="4"/>
      <x:c r="F61" s="4"/>
      <x:c r="G61" s="4"/>
      <x:c r="H61" s="4"/>
      <x:c r="I61" s="4"/>
      <x:c r="J61" s="4"/>
      <x:c r="K61" s="5"/>
      <x:c r="L61" s="5">
        <x:f>IF(AND(B61="",C61=""),
  "",
  IF(B61="",
    "Brigade/Federation field must be specified",
    IF(NOT(OR(
      AND(VALUE(B61)&gt;=61,VALUE(B61)&lt;=90),
      AND(VALUE(B61)&gt;=4001,VALUE(B61)&lt;=5999)
    )),
      "Brigade/Federation must be between 61-90 or 4001-5999",
      IF(C61="",
        "Men field must be specified",
        IF(NOT(AND(VALUE(C61)&gt;=1,VALUE(C61)&lt;=800)),
          "Men must be between 1-800",
          "Valid"
        )
      )
    )
  )
)</x:f>
      </x:c>
    </x:row>
    <x:row r="62" spans="1:12" ht="13.5" customHeight="1">
      <x:c r="A62" s="4">
        <x:v>9</x:v>
      </x:c>
      <x:c r="B62" s="45"/>
      <x:c r="C62" s="45"/>
      <x:c r="D62" s="4"/>
      <x:c r="E62" s="4"/>
      <x:c r="F62" s="4"/>
      <x:c r="G62" s="4"/>
      <x:c r="H62" s="4"/>
      <x:c r="I62" s="4"/>
      <x:c r="J62" s="4"/>
      <x:c r="K62" s="5"/>
      <x:c r="L62" s="5">
        <x:f>IF(AND(B62="",C62=""),
  "",
  IF(B62="",
    "Brigade/Federation field must be specified",
    IF(NOT(OR(
      AND(VALUE(B62)&gt;=61,VALUE(B62)&lt;=90),
      AND(VALUE(B62)&gt;=4001,VALUE(B62)&lt;=5999)
    )),
      "Brigade/Federation must be between 61-90 or 4001-5999",
      IF(C62="",
        "Men field must be specified",
        IF(NOT(AND(VALUE(C62)&gt;=1,VALUE(C62)&lt;=800)),
          "Men must be between 1-800",
          "Valid"
        )
      )
    )
  )
)</x:f>
      </x:c>
    </x:row>
    <x:row r="63" spans="1:12" ht="13.5" customHeight="1">
      <x:c r="A63" s="4">
        <x:v>10</x:v>
      </x:c>
      <x:c r="B63" s="45"/>
      <x:c r="C63" s="45"/>
      <x:c r="D63" s="4"/>
      <x:c r="E63" s="4"/>
      <x:c r="F63" s="4"/>
      <x:c r="G63" s="4"/>
      <x:c r="H63" s="4"/>
      <x:c r="I63" s="4"/>
      <x:c r="J63" s="4"/>
      <x:c r="K63" s="5"/>
      <x:c r="L63" s="5">
        <x:f>IF(AND(B63="",C63=""),
  "",
  IF(B63="",
    "Brigade/Federation field must be specified",
    IF(NOT(OR(
      AND(VALUE(B63)&gt;=61,VALUE(B63)&lt;=90),
      AND(VALUE(B63)&gt;=4001,VALUE(B63)&lt;=5999)
    )),
      "Brigade/Federation must be between 61-90 or 4001-5999",
      IF(C63="",
        "Men field must be specified",
        IF(NOT(AND(VALUE(C63)&gt;=1,VALUE(C63)&lt;=800)),
          "Men must be between 1-800",
          "Valid"
        )
      )
    )
  )
)</x:f>
      </x:c>
    </x:row>
    <x:row r="64" spans="1:12" ht="13.5" customHeight="1">
      <x:c r="A64" s="4">
        <x:v>11</x:v>
      </x:c>
      <x:c r="B64" s="45"/>
      <x:c r="C64" s="45"/>
      <x:c r="D64" s="4"/>
      <x:c r="E64" s="4"/>
      <x:c r="F64" s="4"/>
      <x:c r="G64" s="4"/>
      <x:c r="H64" s="4"/>
      <x:c r="I64" s="4"/>
      <x:c r="J64" s="4"/>
      <x:c r="K64" s="5"/>
      <x:c r="L64" s="5">
        <x:f>IF(AND(B64="",C64=""),
  "",
  IF(B64="",
    "Brigade/Federation field must be specified",
    IF(NOT(OR(
      AND(VALUE(B64)&gt;=61,VALUE(B64)&lt;=90),
      AND(VALUE(B64)&gt;=4001,VALUE(B64)&lt;=5999)
    )),
      "Brigade/Federation must be between 61-90 or 4001-5999",
      IF(C64="",
        "Men field must be specified",
        IF(NOT(AND(VALUE(C64)&gt;=1,VALUE(C64)&lt;=800)),
          "Men must be between 1-800",
          "Valid"
        )
      )
    )
  )
)</x:f>
      </x:c>
    </x:row>
    <x:row r="65" spans="1:12" ht="13.5" customHeight="1">
      <x:c r="A65" s="4">
        <x:v>12</x:v>
      </x:c>
      <x:c r="B65" s="45"/>
      <x:c r="C65" s="45"/>
      <x:c r="D65" s="4"/>
      <x:c r="E65" s="4"/>
      <x:c r="F65" s="4"/>
      <x:c r="G65" s="4"/>
      <x:c r="H65" s="4"/>
      <x:c r="I65" s="4"/>
      <x:c r="J65" s="4"/>
      <x:c r="K65" s="5"/>
      <x:c r="L65" s="5">
        <x:f>IF(AND(B65="",C65=""),
  "",
  IF(B65="",
    "Brigade/Federation field must be specified",
    IF(NOT(OR(
      AND(VALUE(B65)&gt;=61,VALUE(B65)&lt;=90),
      AND(VALUE(B65)&gt;=4001,VALUE(B65)&lt;=5999)
    )),
      "Brigade/Federation must be between 61-90 or 4001-5999",
      IF(C65="",
        "Men field must be specified",
        IF(NOT(AND(VALUE(C65)&gt;=1,VALUE(C65)&lt;=800)),
          "Men must be between 1-800",
          "Valid"
        )
      )
    )
  )
)</x:f>
      </x:c>
    </x:row>
    <x:row r="66" spans="1:12" ht="13.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5"/>
      <x:c r="L66" s="5"/>
    </x:row>
    <x:row r="67" spans="1:12" ht="13.5" customHeight="1">
      <x:c r="A67" s="43" t="s">
        <x:v>31</x:v>
      </x:c>
      <x:c r="B67" s="4"/>
      <x:c r="C67" s="4"/>
      <x:c r="D67" s="4"/>
      <x:c r="E67" s="4"/>
      <x:c r="F67" s="4"/>
      <x:c r="G67" s="4"/>
      <x:c r="H67" s="4"/>
      <x:c r="I67" s="4"/>
      <x:c r="J67" s="4"/>
      <x:c r="K67" s="5"/>
      <x:c r="L67" s="5"/>
    </x:row>
    <x:row r="68" spans="1:12" ht="5.25" customHeight="1">
      <x:c r="A68" s="13"/>
      <x:c r="B68" s="4"/>
      <x:c r="C68" s="4"/>
      <x:c r="D68" s="4"/>
      <x:c r="E68" s="4"/>
      <x:c r="F68" s="4"/>
      <x:c r="G68" s="4"/>
      <x:c r="H68" s="4"/>
      <x:c r="I68" s="4"/>
      <x:c r="J68" s="4"/>
      <x:c r="K68" s="5"/>
      <x:c r="L68" s="5"/>
    </x:row>
    <x:row r="69" spans="1:12" ht="13.5" customHeight="1">
      <x:c r="A69" s="4">
        <x:v>1</x:v>
      </x:c>
      <x:c r="B69" s="45">
        <x:v>62</x:v>
      </x:c>
      <x:c r="C69" s="4"/>
      <x:c r="D69" s="4"/>
      <x:c r="E69" s="4"/>
      <x:c r="F69" s="4"/>
      <x:c r="G69" s="4"/>
      <x:c r="H69" s="4"/>
      <x:c r="I69" s="4"/>
      <x:c r="J69" s="4"/>
      <x:c r="K69" s="5"/>
      <x:c r="L69" s="5">
        <x:f>IF(B69="",
  "",
  IF(NOT(OR(
    AND(VALUE(B69)&gt;=61,VALUE(B69)&lt;=90),
    AND(VALUE(B69)&gt;=4001,VALUE(B69)&lt;=5999)
  )),
    "Brigade/Federation must be between 61-90 or 4001-5999",
    "Valid"
  )
)</x:f>
      </x:c>
    </x:row>
    <x:row r="70" spans="1:12" ht="13.5" customHeight="1">
      <x:c r="A70" s="4">
        <x:v>2</x:v>
      </x:c>
      <x:c r="B70" s="45">
        <x:v>4276</x:v>
      </x:c>
      <x:c r="C70" s="4"/>
      <x:c r="D70" s="4"/>
      <x:c r="E70" s="4"/>
      <x:c r="F70" s="4"/>
      <x:c r="G70" s="4"/>
      <x:c r="H70" s="4"/>
      <x:c r="I70" s="4"/>
      <x:c r="J70" s="4"/>
      <x:c r="K70" s="5"/>
      <x:c r="L70" s="5">
        <x:f>IF(B70="",
  "",
  IF(NOT(OR(
    AND(VALUE(B70)&gt;=61,VALUE(B70)&lt;=90),
    AND(VALUE(B70)&gt;=4001,VALUE(B70)&lt;=5999)
  )),
    "Brigade/Federation must be between 61-90 or 4001-5999",
    "Valid"
  )
)</x:f>
      </x:c>
    </x:row>
    <x:row r="71" spans="1:12" ht="13.5" customHeight="1">
      <x:c r="A71" s="4">
        <x:v>3</x:v>
      </x:c>
      <x:c r="B71" s="45"/>
      <x:c r="C71" s="4"/>
      <x:c r="D71" s="4"/>
      <x:c r="E71" s="4"/>
      <x:c r="F71" s="4"/>
      <x:c r="G71" s="4"/>
      <x:c r="H71" s="4"/>
      <x:c r="I71" s="4"/>
      <x:c r="J71" s="4"/>
      <x:c r="K71" s="5"/>
      <x:c r="L71" s="5">
        <x:f>IF(B71="",
  "",
  IF(NOT(OR(
    AND(VALUE(B71)&gt;=61,VALUE(B71)&lt;=90),
    AND(VALUE(B71)&gt;=4001,VALUE(B71)&lt;=5999)
  )),
    "Brigade/Federation must be between 61-90 or 4001-5999",
    "Valid"
  )
)</x:f>
      </x:c>
    </x:row>
    <x:row r="72" spans="1:12" ht="13.5" customHeight="1">
      <x:c r="A72" s="4">
        <x:v>4</x:v>
      </x:c>
      <x:c r="B72" s="45"/>
      <x:c r="C72" s="4"/>
      <x:c r="D72" s="4"/>
      <x:c r="E72" s="4"/>
      <x:c r="F72" s="4"/>
      <x:c r="G72" s="4"/>
      <x:c r="H72" s="4"/>
      <x:c r="I72" s="4"/>
      <x:c r="J72" s="4"/>
      <x:c r="K72" s="5"/>
      <x:c r="L72" s="5">
        <x:f>IF(B72="",
  "",
  IF(NOT(OR(
    AND(VALUE(B72)&gt;=61,VALUE(B72)&lt;=90),
    AND(VALUE(B72)&gt;=4001,VALUE(B72)&lt;=5999)
  )),
    "Brigade/Federation must be between 61-90 or 4001-5999",
    "Valid"
  )
)</x:f>
      </x:c>
    </x:row>
    <x:row r="73" spans="1:12" ht="13.5" customHeight="1">
      <x:c r="A73" s="4">
        <x:v>5</x:v>
      </x:c>
      <x:c r="B73" s="45"/>
      <x:c r="C73" s="4"/>
      <x:c r="D73" s="4"/>
      <x:c r="E73" s="4"/>
      <x:c r="F73" s="4"/>
      <x:c r="G73" s="4"/>
      <x:c r="H73" s="4"/>
      <x:c r="I73" s="4"/>
      <x:c r="J73" s="4"/>
      <x:c r="K73" s="5"/>
      <x:c r="L73" s="5">
        <x:f>IF(B73="",
  "",
  IF(NOT(OR(
    AND(VALUE(B73)&gt;=61,VALUE(B73)&lt;=90),
    AND(VALUE(B73)&gt;=4001,VALUE(B73)&lt;=5999)
  )),
    "Brigade/Federation must be between 61-90 or 4001-5999",
    "Valid"
  )
)</x:f>
      </x:c>
    </x:row>
    <x:row r="74" spans="1:12" ht="13.5" customHeight="1">
      <x:c r="A74" s="4">
        <x:v>6</x:v>
      </x:c>
      <x:c r="B74" s="45"/>
      <x:c r="C74" s="4"/>
      <x:c r="D74" s="4"/>
      <x:c r="E74" s="4"/>
      <x:c r="F74" s="4"/>
      <x:c r="G74" s="4"/>
      <x:c r="H74" s="4"/>
      <x:c r="I74" s="4"/>
      <x:c r="J74" s="4"/>
      <x:c r="K74" s="5"/>
      <x:c r="L74" s="5">
        <x:f>IF(B74="",
  "",
  IF(NOT(OR(
    AND(VALUE(B74)&gt;=61,VALUE(B74)&lt;=90),
    AND(VALUE(B74)&gt;=4001,VALUE(B74)&lt;=5999)
  )),
    "Brigade/Federation must be between 61-90 or 4001-5999",
    "Valid"
  )
)</x:f>
      </x:c>
    </x:row>
    <x:row r="75" spans="1:12" ht="13.5" customHeight="1">
      <x:c r="A75" s="4">
        <x:v>7</x:v>
      </x:c>
      <x:c r="B75" s="45"/>
      <x:c r="C75" s="4"/>
      <x:c r="D75" s="4"/>
      <x:c r="E75" s="4"/>
      <x:c r="F75" s="4"/>
      <x:c r="G75" s="4"/>
      <x:c r="H75" s="4"/>
      <x:c r="I75" s="4"/>
      <x:c r="J75" s="4"/>
      <x:c r="K75" s="5"/>
      <x:c r="L75" s="5">
        <x:f>IF(B75="",
  "",
  IF(NOT(OR(
    AND(VALUE(B75)&gt;=61,VALUE(B75)&lt;=90),
    AND(VALUE(B75)&gt;=4001,VALUE(B75)&lt;=5999)
  )),
    "Brigade/Federation must be between 61-90 or 4001-5999",
    "Valid"
  )
)</x:f>
      </x:c>
    </x:row>
    <x:row r="76" spans="1:12" ht="13.5" customHeight="1">
      <x:c r="A76" s="4">
        <x:v>8</x:v>
      </x:c>
      <x:c r="B76" s="45"/>
      <x:c r="C76" s="4"/>
      <x:c r="D76" s="4"/>
      <x:c r="E76" s="4"/>
      <x:c r="F76" s="4"/>
      <x:c r="G76" s="4"/>
      <x:c r="H76" s="4"/>
      <x:c r="I76" s="4"/>
      <x:c r="J76" s="4"/>
      <x:c r="K76" s="5"/>
      <x:c r="L76" s="5">
        <x:f>IF(B76="",
  "",
  IF(NOT(OR(
    AND(VALUE(B76)&gt;=61,VALUE(B76)&lt;=90),
    AND(VALUE(B76)&gt;=4001,VALUE(B76)&lt;=5999)
  )),
    "Brigade/Federation must be between 61-90 or 4001-5999",
    "Valid"
  )
)</x:f>
      </x:c>
    </x:row>
    <x:row r="77" spans="1:12" ht="13.5" customHeight="1">
      <x:c r="A77" s="4">
        <x:v>9</x:v>
      </x:c>
      <x:c r="B77" s="45"/>
      <x:c r="C77" s="4"/>
      <x:c r="D77" s="4"/>
      <x:c r="E77" s="4"/>
      <x:c r="F77" s="4"/>
      <x:c r="G77" s="4"/>
      <x:c r="H77" s="4"/>
      <x:c r="I77" s="4"/>
      <x:c r="J77" s="4"/>
      <x:c r="K77" s="5"/>
      <x:c r="L77" s="5">
        <x:f>IF(B77="",
  "",
  IF(NOT(OR(
    AND(VALUE(B77)&gt;=61,VALUE(B77)&lt;=90),
    AND(VALUE(B77)&gt;=4001,VALUE(B77)&lt;=5999)
  )),
    "Brigade/Federation must be between 61-90 or 4001-5999",
    "Valid"
  )
)</x:f>
      </x:c>
    </x:row>
    <x:row r="78" spans="1:12" ht="13.5" customHeight="1">
      <x:c r="A78" s="4">
        <x:v>10</x:v>
      </x:c>
      <x:c r="B78" s="45"/>
      <x:c r="C78" s="4"/>
      <x:c r="D78" s="4"/>
      <x:c r="E78" s="4"/>
      <x:c r="F78" s="4"/>
      <x:c r="G78" s="4"/>
      <x:c r="H78" s="4"/>
      <x:c r="I78" s="4"/>
      <x:c r="J78" s="4"/>
      <x:c r="K78" s="5"/>
      <x:c r="L78" s="5">
        <x:f>IF(B78="",
  "",
  IF(NOT(OR(
    AND(VALUE(B78)&gt;=61,VALUE(B78)&lt;=90),
    AND(VALUE(B78)&gt;=4001,VALUE(B78)&lt;=5999)
  )),
    "Brigade/Federation must be between 61-90 or 4001-5999",
    "Valid"
  )
)</x:f>
      </x:c>
    </x:row>
    <x:row r="79" spans="1:12" ht="13.5" customHeight="1">
      <x:c r="A79" s="4">
        <x:v>11</x:v>
      </x:c>
      <x:c r="B79" s="49"/>
      <x:c r="C79" s="4"/>
      <x:c r="D79" s="4"/>
      <x:c r="E79" s="4"/>
      <x:c r="F79" s="4"/>
      <x:c r="G79" s="4"/>
      <x:c r="H79" s="4"/>
      <x:c r="I79" s="4"/>
      <x:c r="J79" s="4"/>
      <x:c r="K79" s="5"/>
      <x:c r="L79" s="5">
        <x:f>IF(B79="",
  "",
  IF(NOT(OR(
    AND(VALUE(B79)&gt;=61,VALUE(B79)&lt;=90),
    AND(VALUE(B79)&gt;=4001,VALUE(B79)&lt;=5999)
  )),
    "Brigade/Federation must be between 61-90 or 4001-5999",
    "Valid"
  )
)</x:f>
      </x:c>
    </x:row>
    <x:row r="80" spans="1:12" ht="13.5" customHeight="1">
      <x:c r="A80" s="4">
        <x:v>12</x:v>
      </x:c>
      <x:c r="B80" s="45"/>
      <x:c r="C80" s="4"/>
      <x:c r="D80" s="4"/>
      <x:c r="E80" s="4"/>
      <x:c r="F80" s="4"/>
      <x:c r="G80" s="4"/>
      <x:c r="H80" s="4"/>
      <x:c r="I80" s="4"/>
      <x:c r="J80" s="4"/>
      <x:c r="K80" s="5"/>
      <x:c r="L80" s="5">
        <x:f>IF(B80="",
  "",
  IF(NOT(OR(
    AND(VALUE(B80)&gt;=61,VALUE(B80)&lt;=90),
    AND(VALUE(B80)&gt;=4001,VALUE(B80)&lt;=5999)
  )),
    "Brigade/Federation must be between 61-90 or 4001-5999",
    "Valid"
  )
)</x:f>
      </x:c>
    </x:row>
    <x:row r="81" spans="1:12" ht="13.5" customHeight="1">
      <x:c r="A81" s="4">
        <x:v>13</x:v>
      </x:c>
      <x:c r="B81" s="45"/>
      <x:c r="C81" s="4"/>
      <x:c r="D81" s="4"/>
      <x:c r="E81" s="4"/>
      <x:c r="F81" s="4"/>
      <x:c r="G81" s="4"/>
      <x:c r="H81" s="4"/>
      <x:c r="I81" s="4"/>
      <x:c r="J81" s="4"/>
      <x:c r="K81" s="5"/>
      <x:c r="L81" s="5">
        <x:f>IF(B81="",
  "",
  IF(NOT(OR(
    AND(VALUE(B81)&gt;=61,VALUE(B81)&lt;=90),
    AND(VALUE(B81)&gt;=4001,VALUE(B81)&lt;=5999)
  )),
    "Brigade/Federation must be between 61-90 or 4001-5999",
    "Valid"
  )
)</x:f>
      </x:c>
    </x:row>
    <x:row r="82" spans="1:12" ht="13.5" customHeight="1">
      <x:c r="A82" s="4">
        <x:v>14</x:v>
      </x:c>
      <x:c r="B82" s="45"/>
      <x:c r="C82" s="4"/>
      <x:c r="D82" s="4"/>
      <x:c r="E82" s="4"/>
      <x:c r="F82" s="4"/>
      <x:c r="G82" s="4"/>
      <x:c r="H82" s="4"/>
      <x:c r="I82" s="4"/>
      <x:c r="J82" s="4"/>
      <x:c r="K82" s="5"/>
      <x:c r="L82" s="5">
        <x:f>IF(B82="",
  "",
  IF(NOT(OR(
    AND(VALUE(B82)&gt;=61,VALUE(B82)&lt;=90),
    AND(VALUE(B82)&gt;=4001,VALUE(B82)&lt;=5999)
  )),
    "Brigade/Federation must be between 61-90 or 4001-5999",
    "Valid"
  )
)</x:f>
      </x:c>
    </x:row>
    <x:row r="83" spans="1:12" ht="13.5" customHeight="1">
      <x:c r="A83" s="4">
        <x:v>15</x:v>
      </x:c>
      <x:c r="B83" s="45"/>
      <x:c r="C83" s="4"/>
      <x:c r="D83" s="4"/>
      <x:c r="E83" s="4"/>
      <x:c r="F83" s="4"/>
      <x:c r="G83" s="4"/>
      <x:c r="H83" s="4"/>
      <x:c r="I83" s="4"/>
      <x:c r="J83" s="4"/>
      <x:c r="K83" s="5"/>
      <x:c r="L83" s="5">
        <x:f>IF(B83="",
  "",
  IF(NOT(OR(
    AND(VALUE(B83)&gt;=61,VALUE(B83)&lt;=90),
    AND(VALUE(B83)&gt;=4001,VALUE(B83)&lt;=5999)
  )),
    "Brigade/Federation must be between 61-90 or 4001-5999",
    "Valid"
  )
)</x:f>
      </x:c>
    </x:row>
    <x:row r="84" spans="1:12" ht="13.5" customHeight="1">
      <x:c r="A84" s="4">
        <x:v>16</x:v>
      </x:c>
      <x:c r="B84" s="45"/>
      <x:c r="C84" s="4"/>
      <x:c r="D84" s="4"/>
      <x:c r="E84" s="4"/>
      <x:c r="F84" s="4"/>
      <x:c r="G84" s="4"/>
      <x:c r="H84" s="4"/>
      <x:c r="I84" s="4"/>
      <x:c r="J84" s="4"/>
      <x:c r="K84" s="5"/>
      <x:c r="L84" s="5">
        <x:f>IF(B84="",
  "",
  IF(NOT(OR(
    AND(VALUE(B84)&gt;=61,VALUE(B84)&lt;=90),
    AND(VALUE(B84)&gt;=4001,VALUE(B84)&lt;=5999)
  )),
    "Brigade/Federation must be between 61-90 or 4001-5999",
    "Valid"
  )
)</x:f>
      </x:c>
    </x:row>
    <x:row r="85" spans="1:12" ht="13.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5"/>
      <x:c r="L85" s="5"/>
    </x:row>
    <x:row r="86" spans="1:12" ht="13.5" customHeight="1">
      <x:c r="A86" s="43" t="s">
        <x:v>32</x:v>
      </x:c>
      <x:c r="B86" s="4"/>
      <x:c r="C86" s="4"/>
      <x:c r="D86" s="4"/>
      <x:c r="E86" s="4"/>
      <x:c r="F86" s="4"/>
      <x:c r="G86" s="4"/>
      <x:c r="H86" s="4"/>
      <x:c r="I86" s="4"/>
      <x:c r="J86" s="4"/>
      <x:c r="K86" s="5"/>
      <x:c r="L86" s="5"/>
    </x:row>
    <x:row r="87" spans="1:12" ht="13.5" customHeight="1">
      <x:c r="A87" s="4"/>
      <x:c r="B87" s="4" t="s">
        <x:v>33</x:v>
      </x:c>
      <x:c r="C87" s="4" t="s">
        <x:v>34</x:v>
      </x:c>
      <x:c r="D87" s="4" t="s">
        <x:v>35</x:v>
      </x:c>
      <x:c r="E87" s="4" t="s">
        <x:v>36</x:v>
      </x:c>
      <x:c r="F87" s="4"/>
      <x:c r="G87" s="4"/>
      <x:c r="H87" s="4"/>
      <x:c r="I87" s="4"/>
      <x:c r="J87" s="4"/>
      <x:c r="K87" s="5"/>
      <x:c r="L87" s="5"/>
    </x:row>
    <x:row r="88" spans="1:12" ht="13.5" customHeight="1">
      <x:c r="A88" s="4">
        <x:v>1</x:v>
      </x:c>
      <x:c r="B88" s="45"/>
      <x:c r="C88" s="45"/>
      <x:c r="D88" s="45"/>
      <x:c r="E88" s="45"/>
      <x:c r="F88" s="4"/>
      <x:c r="G88" s="4"/>
      <x:c r="H88" s="4"/>
      <x:c r="I88" s="4"/>
      <x:c r="J88" s="4"/>
      <x:c r="K88" s="5"/>
      <x:c r="L88" s="5">
        <x: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x:f>
      </x:c>
    </x:row>
    <x:row r="89" spans="1:12" ht="13.5" customHeight="1">
      <x:c r="A89" s="4">
        <x:v>2</x:v>
      </x:c>
      <x:c r="B89" s="45"/>
      <x:c r="C89" s="45"/>
      <x:c r="D89" s="45"/>
      <x:c r="E89" s="45"/>
      <x:c r="F89" s="4"/>
      <x:c r="G89" s="4"/>
      <x:c r="H89" s="4"/>
      <x:c r="I89" s="4"/>
      <x:c r="J89" s="4"/>
      <x:c r="K89" s="5"/>
      <x:c r="L89" s="5">
        <x: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x:f>
      </x:c>
    </x:row>
    <x:row r="90" spans="1:12" ht="13.5" customHeight="1">
      <x:c r="A90" s="4">
        <x:v>3</x:v>
      </x:c>
      <x:c r="B90" s="45"/>
      <x:c r="C90" s="45"/>
      <x:c r="D90" s="45"/>
      <x:c r="E90" s="45"/>
      <x:c r="F90" s="4"/>
      <x:c r="G90" s="4"/>
      <x:c r="H90" s="4"/>
      <x:c r="I90" s="4"/>
      <x:c r="J90" s="4"/>
      <x:c r="K90" s="5"/>
      <x:c r="L90" s="5">
        <x: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x:f>
      </x:c>
    </x:row>
    <x:row r="91" spans="1:12" ht="13.5" customHeight="1">
      <x:c r="A91" s="4">
        <x:v>4</x:v>
      </x:c>
      <x:c r="B91" s="45"/>
      <x:c r="C91" s="45"/>
      <x:c r="D91" s="45"/>
      <x:c r="E91" s="49"/>
      <x:c r="F91" s="4"/>
      <x:c r="G91" s="4"/>
      <x:c r="H91" s="4"/>
      <x:c r="I91" s="4"/>
      <x:c r="J91" s="4"/>
      <x:c r="K91" s="5"/>
      <x:c r="L91" s="5">
        <x: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x:f>
      </x:c>
    </x:row>
    <x:row r="92" spans="1:12" ht="13.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5"/>
      <x:c r="L92" s="5"/>
    </x:row>
    <x:row r="93" spans="1:12" ht="13.5" customHeight="1">
      <x:c r="A93" s="43" t="s">
        <x:v>37</x:v>
      </x:c>
      <x:c r="B93" s="4"/>
      <x:c r="C93" s="4"/>
      <x:c r="D93" s="4"/>
      <x:c r="E93" s="4"/>
      <x:c r="F93" s="4"/>
      <x:c r="G93" s="4"/>
      <x:c r="H93" s="4"/>
      <x:c r="I93" s="4"/>
      <x:c r="J93" s="4"/>
      <x:c r="K93" s="5"/>
      <x:c r="L93" s="5"/>
    </x:row>
    <x:row r="94" spans="1:12" ht="13.5" customHeight="1">
      <x:c r="A94" s="4"/>
      <x:c r="B94" s="4" t="s">
        <x:v>33</x:v>
      </x:c>
      <x:c r="C94" s="4" t="s">
        <x:v>34</x:v>
      </x:c>
      <x:c r="D94" s="4" t="s">
        <x:v>35</x:v>
      </x:c>
      <x:c r="E94" s="4" t="s">
        <x:v>36</x:v>
      </x:c>
      <x:c r="F94" s="4"/>
      <x:c r="G94" s="4"/>
      <x:c r="H94" s="4"/>
      <x:c r="I94" s="4"/>
      <x:c r="J94" s="4"/>
      <x:c r="K94" s="5"/>
      <x:c r="L94" s="5"/>
    </x:row>
    <x:row r="95" spans="1:12" ht="13.5" customHeight="1">
      <x:c r="A95" s="4">
        <x:v>1</x:v>
      </x:c>
      <x:c r="B95" s="45"/>
      <x:c r="C95" s="45"/>
      <x:c r="D95" s="45"/>
      <x:c r="E95" s="45"/>
      <x:c r="F95" s="4"/>
      <x:c r="G95" s="4"/>
      <x:c r="H95" s="4"/>
      <x:c r="I95" s="4"/>
      <x:c r="J95" s="4"/>
      <x:c r="K95" s="5"/>
      <x:c r="L95" s="5">
        <x:f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x:f>
      </x:c>
    </x:row>
    <x:row r="96" spans="1:12" ht="13.5" customHeight="1">
      <x:c r="A96" s="4">
        <x:v>2</x:v>
      </x:c>
      <x:c r="B96" s="45"/>
      <x:c r="C96" s="45"/>
      <x:c r="D96" s="45"/>
      <x:c r="E96" s="45"/>
      <x:c r="F96" s="4"/>
      <x:c r="G96" s="4"/>
      <x:c r="H96" s="4"/>
      <x:c r="I96" s="4"/>
      <x:c r="J96" s="4"/>
      <x:c r="K96" s="5"/>
      <x:c r="L96" s="5">
        <x:f>IF(AND(B96="",C96="",D96="",E96=""),
  "",
  IF(B96="",
    "Brigade A must be specified",
    IF(NOT(AND(VALUE(B96)&gt;=4001,VALUE(B96)&lt;=5999)),
      "Brigade A must be between 4001-5999",
      IF(C96="",
        "Battalion A must be specified",
        IF(NOT(AND(VALUE(C96)&gt;=1,VALUE(C96)&lt;=7)),
          "Battalion A must be between 1-7",
          IF(D96="",
            "Brigade B must be specified",
            IF(NOT(AND(VALUE(D96)&gt;=4001,VALUE(D96)&lt;=5999)),
              "Brigade B must be between 4001-5999",
              IF(E96="",
                "Battalion B must be specified",
                IF(NOT(AND(VALUE(E96)&gt;=1,VALUE(E96)&lt;=7)),
                  "Battalion B must be between 1-7",
                  "Valid"
                )
              )
            )
          )
        )
      )
    )
  )
)</x:f>
      </x:c>
    </x:row>
    <x:row r="97" spans="1:12" ht="13.5" customHeight="1">
      <x:c r="A97" s="4">
        <x:v>3</x:v>
      </x:c>
      <x:c r="B97" s="45"/>
      <x:c r="C97" s="45"/>
      <x:c r="D97" s="45"/>
      <x:c r="E97" s="45"/>
      <x:c r="F97" s="4"/>
      <x:c r="G97" s="4"/>
      <x:c r="H97" s="4"/>
      <x:c r="I97" s="4"/>
      <x:c r="J97" s="4"/>
      <x:c r="K97" s="5"/>
      <x:c r="L97" s="5">
        <x:f>IF(AND(B97="",C97="",D97="",E97=""),
  "",
  IF(B97="",
    "Brigade A must be specified",
    IF(NOT(AND(VALUE(B97)&gt;=4001,VALUE(B97)&lt;=5999)),
      "Brigade A must be between 4001-5999",
      IF(C97="",
        "Battalion A must be specified",
        IF(NOT(AND(VALUE(C97)&gt;=1,VALUE(C97)&lt;=7)),
          "Battalion A must be between 1-7",
          IF(D97="",
            "Brigade B must be specified",
            IF(NOT(AND(VALUE(D97)&gt;=4001,VALUE(D97)&lt;=5999)),
              "Brigade B must be between 4001-5999",
              IF(E97="",
                "Battalion B must be specified",
                IF(NOT(AND(VALUE(E97)&gt;=1,VALUE(E97)&lt;=7)),
                  "Battalion B must be between 1-7",
                  "Valid"
                )
              )
            )
          )
        )
      )
    )
  )
)</x:f>
      </x:c>
    </x:row>
    <x:row r="98" spans="1:12" ht="13.5" customHeight="1">
      <x:c r="A98" s="4">
        <x:v>4</x:v>
      </x:c>
      <x:c r="B98" s="45"/>
      <x:c r="C98" s="45"/>
      <x:c r="D98" s="45"/>
      <x:c r="E98" s="45"/>
      <x:c r="F98" s="4"/>
      <x:c r="G98" s="4"/>
      <x:c r="H98" s="4"/>
      <x:c r="I98" s="4"/>
      <x:c r="J98" s="4"/>
      <x:c r="K98" s="5"/>
      <x:c r="L98" s="5">
        <x:f>IF(AND(B98="",C98="",D98="",E98=""),
  "",
  IF(B98="",
    "Brigade A must be specified",
    IF(NOT(AND(VALUE(B98)&gt;=4001,VALUE(B98)&lt;=5999)),
      "Brigade A must be between 4001-5999",
      IF(C98="",
        "Battalion A must be specified",
        IF(NOT(AND(VALUE(C98)&gt;=1,VALUE(C98)&lt;=7)),
          "Battalion A must be between 1-7",
          IF(D98="",
            "Brigade B must be specified",
            IF(NOT(AND(VALUE(D98)&gt;=4001,VALUE(D98)&lt;=5999)),
              "Brigade B must be between 4001-5999",
              IF(E98="",
                "Battalion B must be specified",
                IF(NOT(AND(VALUE(E98)&gt;=1,VALUE(E98)&lt;=7)),
                  "Battalion B must be between 1-7",
                  "Valid"
                )
              )
            )
          )
        )
      )
    )
  )
)</x:f>
      </x:c>
    </x:row>
    <x:row r="99" spans="1:12" ht="13.5" customHeight="1">
      <x:c r="A99" s="4">
        <x:v>5</x:v>
      </x:c>
      <x:c r="B99" s="45"/>
      <x:c r="C99" s="45"/>
      <x:c r="D99" s="45"/>
      <x:c r="E99" s="45"/>
      <x:c r="F99" s="4"/>
      <x:c r="G99" s="4"/>
      <x:c r="H99" s="4"/>
      <x:c r="I99" s="4"/>
      <x:c r="J99" s="4"/>
      <x:c r="K99" s="5"/>
      <x:c r="L99" s="5">
        <x:f>IF(AND(B99="",C99="",D99="",E99=""),
  "",
  IF(B99="",
    "Brigade A must be specified",
    IF(NOT(AND(VALUE(B99)&gt;=4001,VALUE(B99)&lt;=5999)),
      "Brigade A must be between 4001-5999",
      IF(C99="",
        "Battalion A must be specified",
        IF(NOT(AND(VALUE(C99)&gt;=1,VALUE(C99)&lt;=7)),
          "Battalion A must be between 1-7",
          IF(D99="",
            "Brigade B must be specified",
            IF(NOT(AND(VALUE(D99)&gt;=4001,VALUE(D99)&lt;=5999)),
              "Brigade B must be between 4001-5999",
              IF(E99="",
                "Battalion B must be specified",
                IF(NOT(AND(VALUE(E99)&gt;=1,VALUE(E99)&lt;=7)),
                  "Battalion B must be between 1-7",
                  "Valid"
                )
              )
            )
          )
        )
      )
    )
  )
)</x:f>
      </x:c>
    </x:row>
    <x:row r="100" spans="1:12" ht="13.5" customHeight="1">
      <x:c r="A100" s="4">
        <x:v>6</x:v>
      </x:c>
      <x:c r="B100" s="45"/>
      <x:c r="C100" s="45"/>
      <x:c r="D100" s="45"/>
      <x:c r="E100" s="45"/>
      <x:c r="F100" s="4"/>
      <x:c r="G100" s="4"/>
      <x:c r="H100" s="4"/>
      <x:c r="I100" s="4"/>
      <x:c r="J100" s="4"/>
      <x:c r="K100" s="5"/>
      <x:c r="L100" s="5">
        <x:f>IF(AND(B100="",C100="",D100="",E100=""),
  "",
  IF(B100="",
    "Brigade A must be specified",
    IF(NOT(AND(VALUE(B100)&gt;=4001,VALUE(B100)&lt;=5999)),
      "Brigade A must be between 4001-5999",
      IF(C100="",
        "Battalion A must be specified",
        IF(NOT(AND(VALUE(C100)&gt;=1,VALUE(C100)&lt;=7)),
          "Battalion A must be between 1-7",
          IF(D100="",
            "Brigade B must be specified",
            IF(NOT(AND(VALUE(D100)&gt;=4001,VALUE(D100)&lt;=5999)),
              "Brigade B must be between 4001-5999",
              IF(E100="",
                "Battalion B must be specified",
                IF(NOT(AND(VALUE(E100)&gt;=1,VALUE(E100)&lt;=7)),
                  "Battalion B must be between 1-7",
                  "Valid"
                )
              )
            )
          )
        )
      )
    )
  )
)</x:f>
      </x:c>
    </x:row>
    <x:row r="101" spans="1:12" ht="13.5" customHeight="1">
      <x:c r="A101" s="4">
        <x:v>7</x:v>
      </x:c>
      <x:c r="B101" s="45"/>
      <x:c r="C101" s="45"/>
      <x:c r="D101" s="45"/>
      <x:c r="E101" s="45"/>
      <x:c r="F101" s="4"/>
      <x:c r="G101" s="4"/>
      <x:c r="H101" s="4"/>
      <x:c r="I101" s="4"/>
      <x:c r="J101" s="4"/>
      <x:c r="K101" s="5"/>
      <x:c r="L101" s="5">
        <x:f>IF(AND(B101="",C101="",D101="",E101=""),
  "",
  IF(B101="",
    "Brigade A must be specified",
    IF(NOT(AND(VALUE(B101)&gt;=4001,VALUE(B101)&lt;=5999)),
      "Brigade A must be between 4001-5999",
      IF(C101="",
        "Battalion A must be specified",
        IF(NOT(AND(VALUE(C101)&gt;=1,VALUE(C101)&lt;=7)),
          "Battalion A must be between 1-7",
          IF(D101="",
            "Brigade B must be specified",
            IF(NOT(AND(VALUE(D101)&gt;=4001,VALUE(D101)&lt;=5999)),
              "Brigade B must be between 4001-5999",
              IF(E101="",
                "Battalion B must be specified",
                IF(NOT(AND(VALUE(E101)&gt;=1,VALUE(E101)&lt;=7)),
                  "Battalion B must be between 1-7",
                  "Valid"
                )
              )
            )
          )
        )
      )
    )
  )
)</x:f>
      </x:c>
    </x:row>
    <x:row r="102" spans="1:12" ht="13.5" customHeight="1">
      <x:c r="A102" s="4">
        <x:v>8</x:v>
      </x:c>
      <x:c r="B102" s="45"/>
      <x:c r="C102" s="45"/>
      <x:c r="D102" s="45"/>
      <x:c r="E102" s="45"/>
      <x:c r="F102" s="4"/>
      <x:c r="G102" s="4"/>
      <x:c r="H102" s="4"/>
      <x:c r="I102" s="4"/>
      <x:c r="J102" s="4"/>
      <x:c r="K102" s="5"/>
      <x:c r="L102" s="5">
        <x:f>IF(AND(B102="",C102="",D102="",E102=""),
  "",
  IF(B102="",
    "Brigade A must be specified",
    IF(NOT(AND(VALUE(B102)&gt;=4001,VALUE(B102)&lt;=5999)),
      "Brigade A must be between 4001-5999",
      IF(C102="",
        "Battalion A must be specified",
        IF(NOT(AND(VALUE(C102)&gt;=1,VALUE(C102)&lt;=7)),
          "Battalion A must be between 1-7",
          IF(D102="",
            "Brigade B must be specified",
            IF(NOT(AND(VALUE(D102)&gt;=4001,VALUE(D102)&lt;=5999)),
              "Brigade B must be between 4001-5999",
              IF(E102="",
                "Battalion B must be specified",
                IF(NOT(AND(VALUE(E102)&gt;=1,VALUE(E102)&lt;=7)),
                  "Battalion B must be between 1-7",
                  "Valid"
                )
              )
            )
          )
        )
      )
    )
  )
)</x:f>
      </x:c>
    </x:row>
    <x:row r="103" spans="1:12" ht="13.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5"/>
      <x:c r="L103" s="5"/>
    </x:row>
    <x:row r="104" spans="1:12" ht="13.5" customHeight="1">
      <x:c r="A104" s="43" t="s">
        <x:v>38</x:v>
      </x:c>
      <x:c r="B104" s="4"/>
      <x:c r="C104" s="4"/>
      <x:c r="D104" s="4"/>
      <x:c r="E104" s="4"/>
      <x:c r="F104" s="4"/>
      <x:c r="G104" s="4"/>
      <x:c r="H104" s="4"/>
      <x:c r="I104" s="4"/>
      <x:c r="J104" s="4"/>
      <x:c r="K104" s="5"/>
      <x:c r="L104" s="5"/>
    </x:row>
    <x:row r="105" spans="1:12" ht="5.25" customHeight="1">
      <x:c r="A105" s="1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5"/>
      <x:c r="L105" s="5"/>
    </x:row>
    <x:row r="106" spans="1:12" ht="13.5" customHeight="1">
      <x:c r="A106" s="4">
        <x:v>1</x:v>
      </x:c>
      <x:c r="B106" s="45"/>
      <x:c r="C106" s="4"/>
      <x:c r="D106" s="4"/>
      <x:c r="E106" s="4"/>
      <x:c r="F106" s="4"/>
      <x:c r="G106" s="4"/>
      <x:c r="H106" s="4"/>
      <x:c r="I106" s="4"/>
      <x:c r="J106" s="4"/>
      <x:c r="K106" s="5"/>
      <x:c r="L106" s="5">
        <x:f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x:f>
      </x:c>
    </x:row>
    <x:row r="107" spans="1:12" ht="13.5" customHeight="1">
      <x:c r="A107" s="4">
        <x:v>2</x:v>
      </x:c>
      <x:c r="B107" s="49"/>
      <x:c r="C107" s="4"/>
      <x:c r="D107" s="4"/>
      <x:c r="E107" s="4"/>
      <x:c r="F107" s="4"/>
      <x:c r="G107" s="4"/>
      <x:c r="H107" s="4"/>
      <x:c r="I107" s="4"/>
      <x:c r="J107" s="4"/>
      <x:c r="K107" s="5"/>
      <x:c r="L107" s="5">
        <x:f>IF(B107="",
  "",
  IF(NOT(OR(
    AND(VALUE(B107)&gt;=11,VALUE(B107)&lt;=90),
    AND(VALUE(B107)&gt;=1001,VALUE(B107)&lt;=3000),
    AND(VALUE(B107)&gt;=7001,VALUE(B107)&lt;=8000)
  )),
    "Item must be 11-90 (Fleets/Federations), 1001-3000 (Ships), or 7001-8000 (Baggage Trains)",
    "Valid"
  )
)</x:f>
      </x:c>
    </x:row>
    <x:row r="108" spans="1:12" ht="13.5" customHeight="1">
      <x:c r="A108" s="4">
        <x:v>3</x:v>
      </x:c>
      <x:c r="B108" s="45"/>
      <x:c r="C108" s="4"/>
      <x:c r="D108" s="4"/>
      <x:c r="E108" s="4"/>
      <x:c r="F108" s="4"/>
      <x:c r="G108" s="4"/>
      <x:c r="H108" s="4"/>
      <x:c r="I108" s="4"/>
      <x:c r="J108" s="4"/>
      <x:c r="K108" s="5"/>
      <x:c r="L108" s="5">
        <x:f>IF(B108="",
  "",
  IF(NOT(OR(
    AND(VALUE(B108)&gt;=11,VALUE(B108)&lt;=90),
    AND(VALUE(B108)&gt;=1001,VALUE(B108)&lt;=3000),
    AND(VALUE(B108)&gt;=7001,VALUE(B108)&lt;=8000)
  )),
    "Item must be 11-90 (Fleets/Federations), 1001-3000 (Ships), or 7001-8000 (Baggage Trains)",
    "Valid"
  )
)</x:f>
      </x:c>
    </x:row>
    <x:row r="109" spans="1:12" ht="13.5" customHeight="1">
      <x:c r="A109" s="4">
        <x:v>4</x:v>
      </x:c>
      <x:c r="B109" s="45"/>
      <x:c r="C109" s="4"/>
      <x:c r="D109" s="4"/>
      <x:c r="E109" s="4"/>
      <x:c r="F109" s="4"/>
      <x:c r="G109" s="4"/>
      <x:c r="H109" s="4"/>
      <x:c r="I109" s="4"/>
      <x:c r="J109" s="4"/>
      <x:c r="K109" s="5"/>
      <x:c r="L109" s="5">
        <x:f>IF(B109="",
  "",
  IF(NOT(OR(
    AND(VALUE(B109)&gt;=11,VALUE(B109)&lt;=90),
    AND(VALUE(B109)&gt;=1001,VALUE(B109)&lt;=3000),
    AND(VALUE(B109)&gt;=7001,VALUE(B109)&lt;=8000)
  )),
    "Item must be 11-90 (Fleets/Federations), 1001-3000 (Ships), or 7001-8000 (Baggage Trains)",
    "Valid"
  )
)</x:f>
      </x:c>
    </x:row>
    <x:row r="110" spans="1:12" ht="13.5" customHeight="1">
      <x:c r="A110" s="4">
        <x:v>5</x:v>
      </x:c>
      <x:c r="B110" s="45"/>
      <x:c r="C110" s="4"/>
      <x:c r="D110" s="4"/>
      <x:c r="E110" s="4"/>
      <x:c r="F110" s="4"/>
      <x:c r="G110" s="4"/>
      <x:c r="H110" s="4"/>
      <x:c r="I110" s="4"/>
      <x:c r="J110" s="4"/>
      <x:c r="K110" s="5"/>
      <x:c r="L110" s="5">
        <x:f>IF(B110="",
  "",
  IF(NOT(OR(
    AND(VALUE(B110)&gt;=11,VALUE(B110)&lt;=90),
    AND(VALUE(B110)&gt;=1001,VALUE(B110)&lt;=3000),
    AND(VALUE(B110)&gt;=7001,VALUE(B110)&lt;=8000)
  )),
    "Item must be 11-90 (Fleets/Federations), 1001-3000 (Ships), or 7001-8000 (Baggage Trains)",
    "Valid"
  )
)</x:f>
      </x:c>
    </x:row>
    <x:row r="111" spans="1:12" ht="13.5" customHeight="1">
      <x:c r="A111" s="4">
        <x:v>6</x:v>
      </x:c>
      <x:c r="B111" s="45"/>
      <x:c r="C111" s="4"/>
      <x:c r="D111" s="4"/>
      <x:c r="E111" s="4"/>
      <x:c r="F111" s="4"/>
      <x:c r="G111" s="4"/>
      <x:c r="H111" s="4"/>
      <x:c r="I111" s="4"/>
      <x:c r="J111" s="4"/>
      <x:c r="K111" s="5"/>
      <x:c r="L111" s="5">
        <x:f>IF(B111="",
  "",
  IF(NOT(OR(
    AND(VALUE(B111)&gt;=11,VALUE(B111)&lt;=90),
    AND(VALUE(B111)&gt;=1001,VALUE(B111)&lt;=3000),
    AND(VALUE(B111)&gt;=7001,VALUE(B111)&lt;=8000)
  )),
    "Item must be 11-90 (Fleets/Federations), 1001-3000 (Ships), or 7001-8000 (Baggage Trains)",
    "Valid"
  )
)</x:f>
      </x:c>
    </x:row>
    <x:row r="112" spans="1:12" ht="13.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5"/>
      <x:c r="L112" s="5"/>
    </x:row>
    <x:row r="113" spans="1:12" ht="13.5" customHeight="1">
      <x:c r="A113" s="43" t="s">
        <x:v>39</x:v>
      </x:c>
      <x:c r="B113" s="4"/>
      <x:c r="C113" s="4"/>
      <x:c r="D113" s="4"/>
      <x:c r="E113" s="4"/>
      <x:c r="F113" s="4"/>
      <x:c r="G113" s="4"/>
      <x:c r="H113" s="4"/>
      <x:c r="I113" s="4"/>
      <x:c r="J113" s="4"/>
      <x:c r="K113" s="5"/>
      <x:c r="L113" s="5"/>
    </x:row>
    <x:row r="114" spans="1:12" ht="5.25" customHeight="1">
      <x:c r="A114" s="1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5"/>
      <x:c r="L114" s="5"/>
    </x:row>
    <x:row r="115" spans="1:12" ht="13.5" customHeight="1">
      <x:c r="A115" s="4">
        <x:v>1</x:v>
      </x:c>
      <x:c r="B115" s="45">
        <x:v>218</x:v>
      </x:c>
      <x:c r="C115" s="45">
        <x:v>33</x:v>
      </x:c>
      <x:c r="D115" s="50"/>
      <x:c r="E115" s="51"/>
      <x:c r="F115" s="52"/>
      <x:c r="G115" s="4"/>
      <x:c r="H115" s="4"/>
      <x:c r="I115" s="4"/>
      <x:c r="J115" s="4"/>
      <x:c r="K115" s="5"/>
      <x:c r="L115" s="5">
        <x:f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x:f>
      </x:c>
    </x:row>
    <x:row r="116" spans="1:12" ht="13.5" customHeight="1">
      <x:c r="A116" s="4">
        <x:v>2</x:v>
      </x:c>
      <x:c r="B116" s="45">
        <x:v>218</x:v>
      </x:c>
      <x:c r="C116" s="45">
        <x:v>33</x:v>
      </x:c>
      <x:c r="D116" s="50"/>
      <x:c r="E116" s="51"/>
      <x:c r="F116" s="52"/>
      <x:c r="G116" s="4"/>
      <x:c r="H116" s="4"/>
      <x:c r="I116" s="4"/>
      <x:c r="J116" s="4"/>
      <x:c r="K116" s="5"/>
      <x:c r="L116" s="5">
        <x:f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x:f>
      </x:c>
    </x:row>
    <x:row r="117" spans="1:12" ht="13.5" customHeight="1">
      <x:c r="A117" s="4">
        <x:v>3</x:v>
      </x:c>
      <x:c r="B117" s="45">
        <x:v>218</x:v>
      </x:c>
      <x:c r="C117" s="49">
        <x:v>33</x:v>
      </x:c>
      <x:c r="D117" s="50"/>
      <x:c r="E117" s="51"/>
      <x:c r="F117" s="52"/>
      <x:c r="G117" s="4"/>
      <x:c r="H117" s="4"/>
      <x:c r="I117" s="4"/>
      <x:c r="J117" s="4"/>
      <x:c r="K117" s="5"/>
      <x:c r="L117" s="5">
        <x:f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x:f>
      </x:c>
    </x:row>
    <x:row r="118" spans="1:12" ht="13.5" customHeight="1">
      <x:c r="A118" s="4">
        <x:v>4</x:v>
      </x:c>
      <x:c r="B118" s="45">
        <x:v>218</x:v>
      </x:c>
      <x:c r="C118" s="49">
        <x:v>33</x:v>
      </x:c>
      <x:c r="D118" s="50"/>
      <x:c r="E118" s="51"/>
      <x:c r="F118" s="52"/>
      <x:c r="G118" s="4"/>
      <x:c r="H118" s="4"/>
      <x:c r="I118" s="4"/>
      <x:c r="J118" s="4"/>
      <x:c r="K118" s="5"/>
      <x:c r="L118" s="5">
        <x:f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x:f>
      </x:c>
    </x:row>
    <x:row r="119" spans="1:12" ht="13.5" customHeight="1">
      <x:c r="A119" s="4">
        <x:v>5</x:v>
      </x:c>
      <x:c r="B119" s="45">
        <x:v>218</x:v>
      </x:c>
      <x:c r="C119" s="49">
        <x:v>33</x:v>
      </x:c>
      <x:c r="D119" s="53"/>
      <x:c r="E119" s="51"/>
      <x:c r="F119" s="52"/>
      <x:c r="G119" s="4"/>
      <x:c r="H119" s="4"/>
      <x:c r="I119" s="4"/>
      <x:c r="J119" s="4"/>
      <x:c r="K119" s="5"/>
      <x:c r="L119" s="5">
        <x:f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x:f>
      </x:c>
    </x:row>
    <x:row r="120" spans="1:12" ht="13.5" customHeight="1">
      <x:c r="A120" s="4">
        <x:v>6</x:v>
      </x:c>
      <x:c r="B120" s="45">
        <x:v>218</x:v>
      </x:c>
      <x:c r="C120" s="49">
        <x:v>33</x:v>
      </x:c>
      <x:c r="D120" s="53"/>
      <x:c r="E120" s="51"/>
      <x:c r="F120" s="52"/>
      <x:c r="G120" s="4"/>
      <x:c r="H120" s="4"/>
      <x:c r="I120" s="4"/>
      <x:c r="J120" s="4"/>
      <x:c r="K120" s="5"/>
      <x:c r="L120" s="5">
        <x:f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x:f>
      </x:c>
    </x:row>
    <x:row r="121" spans="1:12" ht="13.5" customHeight="1">
      <x:c r="A121" s="4">
        <x:v>7</x:v>
      </x:c>
      <x:c r="B121" s="45">
        <x:v>218</x:v>
      </x:c>
      <x:c r="C121" s="49">
        <x:v>33</x:v>
      </x:c>
      <x:c r="D121" s="53"/>
      <x:c r="E121" s="51"/>
      <x:c r="F121" s="52"/>
      <x:c r="G121" s="4"/>
      <x:c r="H121" s="4"/>
      <x:c r="I121" s="4"/>
      <x:c r="J121" s="4"/>
      <x:c r="K121" s="5"/>
      <x:c r="L121" s="5">
        <x:f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x:f>
      </x:c>
    </x:row>
    <x:row r="122" spans="1:12" ht="13.5" customHeight="1">
      <x:c r="A122" s="4">
        <x:v>8</x:v>
      </x:c>
      <x:c r="B122" s="45">
        <x:v>218</x:v>
      </x:c>
      <x:c r="C122" s="45">
        <x:v>33</x:v>
      </x:c>
      <x:c r="D122" s="50"/>
      <x:c r="E122" s="51"/>
      <x:c r="F122" s="52"/>
      <x:c r="G122" s="4"/>
      <x:c r="H122" s="4"/>
      <x:c r="I122" s="4"/>
      <x:c r="J122" s="4"/>
      <x:c r="K122" s="5"/>
      <x:c r="L122" s="5">
        <x:f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x:f>
      </x:c>
    </x:row>
    <x:row r="123" spans="1:12" ht="13.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5"/>
      <x:c r="L123" s="5"/>
    </x:row>
    <x:row r="124" spans="1:12" ht="13.5" customHeight="1">
      <x:c r="A124" s="43" t="s">
        <x:v>40</x:v>
      </x:c>
      <x:c r="B124" s="4"/>
      <x:c r="C124" s="4"/>
      <x:c r="D124" s="4"/>
      <x:c r="E124" s="4"/>
      <x:c r="F124" s="4"/>
      <x:c r="G124" s="4"/>
      <x:c r="H124" s="4"/>
      <x:c r="I124" s="4"/>
      <x:c r="J124" s="4"/>
      <x:c r="K124" s="5"/>
      <x:c r="L124" s="5"/>
    </x:row>
    <x:row r="125" spans="1:12" ht="5.25" customHeight="1">
      <x:c r="A125" s="13"/>
      <x:c r="B125" s="4"/>
      <x:c r="C125" s="4"/>
      <x:c r="D125" s="4"/>
      <x:c r="E125" s="4"/>
      <x:c r="F125" s="4"/>
      <x:c r="G125" s="4"/>
      <x:c r="H125" s="4"/>
      <x:c r="I125" s="4"/>
      <x:c r="J125" s="4"/>
      <x:c r="K125" s="5"/>
      <x:c r="L125" s="5"/>
    </x:row>
    <x:row r="126" spans="1:12" ht="13.5" customHeight="1">
      <x:c r="A126" s="4">
        <x:v>1</x:v>
      </x:c>
      <x:c r="B126" s="45"/>
      <x:c r="C126" s="4"/>
      <x:c r="D126" s="4"/>
      <x:c r="E126" s="4"/>
      <x:c r="F126" s="4"/>
      <x:c r="G126" s="4"/>
      <x:c r="H126" s="4"/>
      <x:c r="I126" s="4"/>
      <x:c r="J126" s="4"/>
      <x:c r="K126" s="5"/>
      <x:c r="L126" s="5">
        <x:f>IF(AND(B126=""), "",
  IF(B126="", "Error: Depot field must be specified",
    IF(NOT(AND(VALUE(B126)&gt;=201, VALUE(B126)&lt;=399)), "Error: Depot field must be a valid integer in the range 201-399",
      "Valid")))</x:f>
      </x:c>
    </x:row>
    <x:row r="127" spans="1:12" ht="13.5" customHeight="1">
      <x:c r="A127" s="4">
        <x:v>2</x:v>
      </x:c>
      <x:c r="B127" s="49"/>
      <x:c r="C127" s="4"/>
      <x:c r="D127" s="4"/>
      <x:c r="E127" s="4"/>
      <x:c r="F127" s="4"/>
      <x:c r="G127" s="4"/>
      <x:c r="H127" s="4"/>
      <x:c r="I127" s="4"/>
      <x:c r="J127" s="4"/>
      <x:c r="K127" s="5"/>
      <x:c r="L127" s="5">
        <x:f>IF(AND(B127=""), "",
  IF(B127="", "Error: Depot field must be specified",
    IF(NOT(AND(VALUE(B127)&gt;=201, VALUE(B127)&lt;=399)), "Error: Depot field must be a valid integer in the range 201-399",
      "Valid")))</x:f>
      </x:c>
    </x:row>
    <x:row r="128" spans="1:12" ht="13.5" customHeight="1">
      <x:c r="A128" s="4">
        <x:v>3</x:v>
      </x:c>
      <x:c r="B128" s="49"/>
      <x:c r="C128" s="4"/>
      <x:c r="D128" s="4"/>
      <x:c r="E128" s="4"/>
      <x:c r="F128" s="4"/>
      <x:c r="G128" s="4"/>
      <x:c r="H128" s="4"/>
      <x:c r="I128" s="4"/>
      <x:c r="J128" s="4"/>
      <x:c r="K128" s="5"/>
      <x:c r="L128" s="5">
        <x:f>IF(AND(B128=""), "",
  IF(B128="", "Error: Depot field must be specified",
    IF(NOT(AND(VALUE(B128)&gt;=201, VALUE(B128)&lt;=399)), "Error: Depot field must be a valid integer in the range 201-399",
      "Valid")))</x:f>
      </x:c>
    </x:row>
    <x:row r="129" spans="1:12" ht="13.5" customHeight="1">
      <x:c r="A129" s="4">
        <x:v>4</x:v>
      </x:c>
      <x:c r="B129" s="45"/>
      <x:c r="C129" s="4"/>
      <x:c r="D129" s="4"/>
      <x:c r="E129" s="4"/>
      <x:c r="F129" s="4"/>
      <x:c r="G129" s="4"/>
      <x:c r="H129" s="4"/>
      <x:c r="I129" s="4"/>
      <x:c r="J129" s="4"/>
      <x:c r="K129" s="5"/>
      <x:c r="L129" s="5">
        <x:f>IF(AND(B129=""), "",
  IF(B129="", "Error: Depot field must be specified",
    IF(NOT(AND(VALUE(B129)&gt;=201, VALUE(B129)&lt;=399)), "Error: Depot field must be a valid integer in the range 201-399",
      "Valid")))</x:f>
      </x:c>
    </x:row>
    <x:row r="130" spans="1:12" ht="13.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5"/>
      <x:c r="L130" s="5"/>
    </x:row>
    <x:row r="131" spans="1:12" ht="13.5" customHeight="1">
      <x:c r="A131" s="43" t="s">
        <x:v>41</x:v>
      </x:c>
      <x:c r="B131" s="4"/>
      <x:c r="C131" s="4"/>
      <x:c r="D131" s="4"/>
      <x:c r="E131" s="4"/>
      <x:c r="F131" s="4"/>
      <x:c r="G131" s="4"/>
      <x:c r="H131" s="4"/>
      <x:c r="I131" s="4"/>
      <x:c r="J131" s="4"/>
      <x:c r="K131" s="5"/>
      <x:c r="L131" s="5"/>
    </x:row>
    <x:row r="132" spans="1:12" ht="5.25" customHeight="1">
      <x:c r="A132" s="13"/>
      <x:c r="B132" s="4"/>
      <x:c r="C132" s="4"/>
      <x:c r="D132" s="4"/>
      <x:c r="E132" s="4"/>
      <x:c r="F132" s="4"/>
      <x:c r="G132" s="4"/>
      <x:c r="H132" s="4"/>
      <x:c r="I132" s="4"/>
      <x:c r="J132" s="4"/>
      <x:c r="K132" s="5"/>
      <x:c r="L132" s="5"/>
    </x:row>
    <x:row r="133" spans="1:12" ht="13.5" customHeight="1">
      <x:c r="A133" s="4">
        <x:v>1</x:v>
      </x:c>
      <x:c r="B133" s="45"/>
      <x:c r="C133" s="45"/>
      <x:c r="D133" s="4"/>
      <x:c r="E133" s="4"/>
      <x:c r="F133" s="4"/>
      <x:c r="G133" s="4"/>
      <x:c r="H133" s="4"/>
      <x:c r="I133" s="4"/>
      <x:c r="J133" s="4"/>
      <x:c r="K133" s="5"/>
      <x:c r="L133" s="5">
        <x:f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x:f>
      </x:c>
    </x:row>
    <x:row r="134" spans="1:12" ht="13.5" customHeight="1">
      <x:c r="A134" s="4">
        <x:v>2</x:v>
      </x:c>
      <x:c r="B134" s="45"/>
      <x:c r="C134" s="45"/>
      <x:c r="D134" s="4"/>
      <x:c r="E134" s="4"/>
      <x:c r="F134" s="4"/>
      <x:c r="G134" s="4"/>
      <x:c r="H134" s="4"/>
      <x:c r="I134" s="4"/>
      <x:c r="J134" s="4"/>
      <x:c r="K134" s="5"/>
      <x:c r="L134" s="5">
        <x:f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x:f>
      </x:c>
    </x:row>
    <x:row r="135" spans="1:12" ht="13.5" customHeight="1">
      <x:c r="A135" s="4">
        <x:v>3</x:v>
      </x:c>
      <x:c r="B135" s="45"/>
      <x:c r="C135" s="45"/>
      <x:c r="D135" s="4"/>
      <x:c r="E135" s="4"/>
      <x:c r="F135" s="4"/>
      <x:c r="G135" s="4"/>
      <x:c r="H135" s="4"/>
      <x:c r="I135" s="4"/>
      <x:c r="J135" s="4"/>
      <x:c r="K135" s="5"/>
      <x:c r="L135" s="5">
        <x:f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x:f>
      </x:c>
    </x:row>
    <x:row r="136" spans="1:12" ht="13.5" customHeight="1">
      <x:c r="A136" s="4">
        <x:v>4</x:v>
      </x:c>
      <x:c r="B136" s="45"/>
      <x:c r="C136" s="49"/>
      <x:c r="D136" s="4"/>
      <x:c r="E136" s="4"/>
      <x:c r="F136" s="4"/>
      <x:c r="G136" s="4"/>
      <x:c r="H136" s="4"/>
      <x:c r="I136" s="4"/>
      <x:c r="J136" s="4"/>
      <x:c r="K136" s="5"/>
      <x:c r="L136" s="5">
        <x:f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x:f>
      </x:c>
    </x:row>
    <x:row r="137" spans="1:12" ht="13.5" customHeight="1">
      <x:c r="A137" s="4">
        <x:v>5</x:v>
      </x:c>
      <x:c r="B137" s="45"/>
      <x:c r="C137" s="45"/>
      <x:c r="D137" s="4"/>
      <x:c r="E137" s="4"/>
      <x:c r="F137" s="4"/>
      <x:c r="G137" s="4"/>
      <x:c r="H137" s="4"/>
      <x:c r="I137" s="4"/>
      <x:c r="J137" s="4"/>
      <x:c r="K137" s="5"/>
      <x:c r="L137" s="5">
        <x:f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x:f>
      </x:c>
    </x:row>
    <x:row r="138" spans="1:12" ht="13.5" customHeight="1">
      <x:c r="A138" s="4">
        <x:v>6</x:v>
      </x:c>
      <x:c r="B138" s="49"/>
      <x:c r="C138" s="45"/>
      <x:c r="D138" s="4"/>
      <x:c r="E138" s="4"/>
      <x:c r="F138" s="4"/>
      <x:c r="G138" s="4"/>
      <x:c r="H138" s="4"/>
      <x:c r="I138" s="4"/>
      <x:c r="J138" s="4"/>
      <x:c r="K138" s="5"/>
      <x:c r="L138" s="5">
        <x:f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x:f>
      </x:c>
    </x:row>
    <x:row r="139" spans="1:12" ht="13.5" customHeight="1">
      <x:c r="A139" s="4">
        <x:v>7</x:v>
      </x:c>
      <x:c r="B139" s="45"/>
      <x:c r="C139" s="49"/>
      <x:c r="D139" s="4"/>
      <x:c r="E139" s="4"/>
      <x:c r="F139" s="4"/>
      <x:c r="G139" s="4"/>
      <x:c r="H139" s="4"/>
      <x:c r="I139" s="4"/>
      <x:c r="J139" s="4"/>
      <x:c r="K139" s="5"/>
      <x:c r="L139" s="5">
        <x:f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x:f>
      </x:c>
    </x:row>
    <x:row r="140" spans="1:12" ht="13.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5"/>
      <x:c r="L140" s="5"/>
    </x:row>
    <x:row r="141" spans="1:12" ht="13.5" customHeight="1">
      <x:c r="A141" s="43" t="s">
        <x:v>42</x:v>
      </x:c>
      <x:c r="B141" s="4"/>
      <x:c r="C141" s="4"/>
      <x:c r="D141" s="4"/>
      <x:c r="E141" s="4"/>
      <x:c r="F141" s="4"/>
      <x:c r="G141" s="4"/>
      <x:c r="H141" s="4"/>
      <x:c r="I141" s="4"/>
      <x:c r="J141" s="4"/>
      <x:c r="K141" s="5"/>
      <x:c r="L141" s="5"/>
    </x:row>
    <x:row r="142" spans="1:12" ht="5.25" customHeight="1">
      <x:c r="A142" s="13"/>
      <x:c r="B142" s="4"/>
      <x:c r="C142" s="4"/>
      <x:c r="D142" s="4"/>
      <x:c r="E142" s="4"/>
      <x:c r="F142" s="4"/>
      <x:c r="G142" s="4"/>
      <x:c r="H142" s="4"/>
      <x:c r="I142" s="4"/>
      <x:c r="J142" s="4"/>
      <x:c r="K142" s="5"/>
      <x:c r="L142" s="5"/>
    </x:row>
    <x:row r="143" spans="1:12" ht="13.5" customHeight="1">
      <x:c r="A143" s="4">
        <x:v>1</x:v>
      </x:c>
      <x:c r="B143" s="45"/>
      <x:c r="C143" s="45"/>
      <x:c r="D143" s="45"/>
      <x:c r="E143" s="4"/>
      <x:c r="F143" s="4"/>
      <x:c r="G143" s="4"/>
      <x:c r="H143" s="4"/>
      <x:c r="I143" s="4"/>
      <x:c r="J143" s="4"/>
      <x:c r="K143" s="5"/>
      <x:c r="L143" s="5">
        <x:f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x:f>
      </x:c>
    </x:row>
    <x:row r="144" spans="1:12" ht="13.5" customHeight="1">
      <x:c r="A144" s="4">
        <x:v>2</x:v>
      </x:c>
      <x:c r="B144" s="45"/>
      <x:c r="C144" s="45"/>
      <x:c r="D144" s="45"/>
      <x:c r="E144" s="4"/>
      <x:c r="F144" s="4"/>
      <x:c r="G144" s="4"/>
      <x:c r="H144" s="4"/>
      <x:c r="I144" s="4"/>
      <x:c r="J144" s="4"/>
      <x:c r="K144" s="5"/>
      <x:c r="L144" s="5">
        <x:f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x:f>
      </x:c>
    </x:row>
    <x:row r="145" spans="1:12" ht="13.5" customHeight="1">
      <x:c r="A145" s="4">
        <x:v>3</x:v>
      </x:c>
      <x:c r="B145" s="49"/>
      <x:c r="C145" s="45"/>
      <x:c r="D145" s="45"/>
      <x:c r="E145" s="4"/>
      <x:c r="F145" s="4"/>
      <x:c r="G145" s="4"/>
      <x:c r="H145" s="4"/>
      <x:c r="I145" s="4"/>
      <x:c r="J145" s="4"/>
      <x:c r="K145" s="5"/>
      <x:c r="L145" s="5">
        <x:f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x:f>
      </x:c>
    </x:row>
    <x:row r="146" spans="1:12" ht="13.5" customHeight="1">
      <x:c r="A146" s="4">
        <x:v>4</x:v>
      </x:c>
      <x:c r="B146" s="49"/>
      <x:c r="C146" s="45"/>
      <x:c r="D146" s="49"/>
      <x:c r="E146" s="4"/>
      <x:c r="F146" s="4"/>
      <x:c r="G146" s="4"/>
      <x:c r="H146" s="4"/>
      <x:c r="I146" s="4"/>
      <x:c r="J146" s="4"/>
      <x:c r="K146" s="5"/>
      <x:c r="L146" s="5">
        <x:f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x:f>
      </x:c>
    </x:row>
    <x:row r="147" spans="1:12" ht="13.5" customHeight="1">
      <x:c r="A147" s="4">
        <x:v>5</x:v>
      </x:c>
      <x:c r="B147" s="45"/>
      <x:c r="C147" s="45"/>
      <x:c r="D147" s="45"/>
      <x:c r="E147" s="4"/>
      <x:c r="F147" s="4"/>
      <x:c r="G147" s="4"/>
      <x:c r="H147" s="4"/>
      <x:c r="I147" s="4"/>
      <x:c r="J147" s="4"/>
      <x:c r="K147" s="5"/>
      <x:c r="L147" s="5">
        <x:f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x:f>
      </x:c>
    </x:row>
    <x:row r="148" spans="1:12" ht="13.5" customHeight="1">
      <x:c r="A148" s="4">
        <x:v>6</x:v>
      </x:c>
      <x:c r="B148" s="45"/>
      <x:c r="C148" s="45"/>
      <x:c r="D148" s="45"/>
      <x:c r="E148" s="4"/>
      <x:c r="F148" s="22"/>
      <x:c r="G148" s="22"/>
      <x:c r="H148" s="22"/>
      <x:c r="I148" s="4"/>
      <x:c r="J148" s="4"/>
      <x:c r="K148" s="5"/>
      <x:c r="L148" s="5">
        <x:f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x:f>
      </x:c>
    </x:row>
    <x:row r="149" spans="1:12" ht="13.5" customHeight="1">
      <x:c r="A149" s="4">
        <x:v>7</x:v>
      </x:c>
      <x:c r="B149" s="45"/>
      <x:c r="C149" s="45"/>
      <x:c r="D149" s="45"/>
      <x:c r="E149" s="4"/>
      <x:c r="F149" s="22"/>
      <x:c r="G149" s="22"/>
      <x:c r="H149" s="22"/>
      <x:c r="I149" s="4"/>
      <x:c r="J149" s="4"/>
      <x:c r="K149" s="5"/>
      <x:c r="L149" s="5">
        <x:f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x:f>
      </x:c>
    </x:row>
    <x:row r="150" spans="1:12" ht="13.5" customHeight="1">
      <x:c r="A150" s="4">
        <x:v>8</x:v>
      </x:c>
      <x:c r="B150" s="45"/>
      <x:c r="C150" s="45"/>
      <x:c r="D150" s="45"/>
      <x:c r="E150" s="4"/>
      <x:c r="F150" s="22"/>
      <x:c r="G150" s="22"/>
      <x:c r="H150" s="22"/>
      <x:c r="I150" s="4"/>
      <x:c r="J150" s="4"/>
      <x:c r="K150" s="5"/>
      <x:c r="L150" s="5">
        <x:f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x:f>
      </x:c>
    </x:row>
    <x:row r="151" spans="1:12" ht="13.5" customHeight="1">
      <x:c r="A151" s="4">
        <x:v>9</x:v>
      </x:c>
      <x:c r="B151" s="45"/>
      <x:c r="C151" s="45"/>
      <x:c r="D151" s="45"/>
      <x:c r="E151" s="4"/>
      <x:c r="F151" s="22"/>
      <x:c r="G151" s="22"/>
      <x:c r="H151" s="22"/>
      <x:c r="I151" s="4"/>
      <x:c r="J151" s="4"/>
      <x:c r="K151" s="5"/>
      <x:c r="L151" s="5">
        <x:f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x:f>
      </x:c>
    </x:row>
    <x:row r="152" spans="1:12" ht="13.5" customHeight="1">
      <x:c r="A152" s="4">
        <x:v>10</x:v>
      </x:c>
      <x:c r="B152" s="45"/>
      <x:c r="C152" s="45"/>
      <x:c r="D152" s="45"/>
      <x:c r="E152" s="4"/>
      <x:c r="F152" s="22"/>
      <x:c r="G152" s="22"/>
      <x:c r="H152" s="22"/>
      <x:c r="I152" s="4"/>
      <x:c r="J152" s="4"/>
      <x:c r="K152" s="5"/>
      <x:c r="L152" s="5">
        <x:f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x:f>
      </x:c>
    </x:row>
    <x:row r="153" spans="1:12" ht="13.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5"/>
      <x:c r="L153" s="5"/>
    </x:row>
    <x:row r="154" spans="1:12" ht="13.5" customHeight="1">
      <x:c r="A154" s="43" t="s">
        <x:v>43</x:v>
      </x:c>
      <x:c r="B154" s="4"/>
      <x:c r="C154" s="4"/>
      <x:c r="D154" s="4"/>
      <x:c r="E154" s="4"/>
      <x:c r="F154" s="4"/>
      <x:c r="G154" s="4"/>
      <x:c r="H154" s="4"/>
      <x:c r="I154" s="4"/>
      <x:c r="J154" s="4"/>
      <x:c r="K154" s="5"/>
      <x:c r="L154" s="5"/>
    </x:row>
    <x:row r="155" spans="1:12" ht="5.25" customHeight="1">
      <x:c r="A155" s="13"/>
      <x:c r="B155" s="4"/>
      <x:c r="C155" s="4"/>
      <x:c r="D155" s="4"/>
      <x:c r="E155" s="4"/>
      <x:c r="F155" s="4"/>
      <x:c r="G155" s="4"/>
      <x:c r="H155" s="4"/>
      <x:c r="I155" s="4"/>
      <x:c r="J155" s="4"/>
      <x:c r="K155" s="5"/>
      <x:c r="L155" s="5"/>
    </x:row>
    <x:row r="156" spans="1:12" ht="13.5" customHeight="1">
      <x:c r="A156" s="4">
        <x:v>1</x:v>
      </x:c>
      <x:c r="B156" s="45">
        <x:v>4158</x:v>
      </x:c>
      <x:c r="C156" s="45">
        <x:v>77</x:v>
      </x:c>
      <x:c r="D156" s="4"/>
      <x:c r="E156" s="4"/>
      <x:c r="F156" s="4"/>
      <x:c r="G156" s="4"/>
      <x:c r="H156" s="4"/>
      <x:c r="I156" s="4"/>
      <x:c r="J156" s="4"/>
      <x:c r="K156" s="5"/>
      <x:c r="L156" s="5">
        <x:f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x:f>
      </x:c>
    </x:row>
    <x:row r="157" spans="1:12" ht="13.5" customHeight="1">
      <x:c r="A157" s="4">
        <x:v>2</x:v>
      </x:c>
      <x:c r="B157" s="45">
        <x:v>1361</x:v>
      </x:c>
      <x:c r="C157" s="45">
        <x:v>11</x:v>
      </x:c>
      <x:c r="D157" s="4"/>
      <x:c r="E157" s="4"/>
      <x:c r="F157" s="4"/>
      <x:c r="G157" s="4"/>
      <x:c r="H157" s="4"/>
      <x:c r="I157" s="4"/>
      <x:c r="J157" s="4"/>
      <x:c r="K157" s="5"/>
      <x:c r="L157" s="5">
        <x:f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x:f>
      </x:c>
    </x:row>
    <x:row r="158" spans="1:12" ht="13.5" customHeight="1">
      <x:c r="A158" s="4">
        <x:v>3</x:v>
      </x:c>
      <x:c r="B158" s="45">
        <x:v>1362</x:v>
      </x:c>
      <x:c r="C158" s="45">
        <x:v>11</x:v>
      </x:c>
      <x:c r="D158" s="4"/>
      <x:c r="E158" s="4"/>
      <x:c r="F158" s="4"/>
      <x:c r="G158" s="4"/>
      <x:c r="H158" s="4"/>
      <x:c r="I158" s="4"/>
      <x:c r="J158" s="4"/>
      <x:c r="K158" s="5"/>
      <x:c r="L158" s="5">
        <x:f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x:f>
      </x:c>
    </x:row>
    <x:row r="159" spans="1:12" ht="13.5" customHeight="1">
      <x:c r="A159" s="4">
        <x:v>4</x:v>
      </x:c>
      <x:c r="B159" s="45">
        <x:v>1363</x:v>
      </x:c>
      <x:c r="C159" s="45">
        <x:v>11</x:v>
      </x:c>
      <x:c r="D159" s="4"/>
      <x:c r="E159" s="4"/>
      <x:c r="F159" s="4"/>
      <x:c r="G159" s="4"/>
      <x:c r="H159" s="4"/>
      <x:c r="I159" s="4"/>
      <x:c r="J159" s="4"/>
      <x:c r="K159" s="5"/>
      <x:c r="L159" s="5">
        <x:f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x:f>
      </x:c>
    </x:row>
    <x:row r="160" spans="1:12" ht="13.5" customHeight="1">
      <x:c r="A160" s="4">
        <x:v>5</x:v>
      </x:c>
      <x:c r="B160" s="45">
        <x:v>1364</x:v>
      </x:c>
      <x:c r="C160" s="45">
        <x:v>11</x:v>
      </x:c>
      <x:c r="D160" s="4"/>
      <x:c r="E160" s="4"/>
      <x:c r="F160" s="4"/>
      <x:c r="G160" s="4"/>
      <x:c r="H160" s="4"/>
      <x:c r="I160" s="4"/>
      <x:c r="J160" s="4"/>
      <x:c r="K160" s="5"/>
      <x:c r="L160" s="5">
        <x:f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x:f>
      </x:c>
    </x:row>
    <x:row r="161" spans="1:12" ht="13.5" customHeight="1">
      <x:c r="A161" s="4">
        <x:v>6</x:v>
      </x:c>
      <x:c r="B161" s="45">
        <x:v>1365</x:v>
      </x:c>
      <x:c r="C161" s="45">
        <x:v>11</x:v>
      </x:c>
      <x:c r="D161" s="4"/>
      <x:c r="E161" s="4"/>
      <x:c r="F161" s="4"/>
      <x:c r="G161" s="4"/>
      <x:c r="H161" s="4"/>
      <x:c r="I161" s="4"/>
      <x:c r="J161" s="4"/>
      <x:c r="K161" s="5"/>
      <x:c r="L161" s="5">
        <x:f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x:f>
      </x:c>
    </x:row>
    <x:row r="162" spans="1:12" ht="13.5" customHeight="1">
      <x:c r="A162" s="4">
        <x:v>7</x:v>
      </x:c>
      <x:c r="B162" s="45">
        <x:v>1347</x:v>
      </x:c>
      <x:c r="C162" s="45">
        <x:v>11</x:v>
      </x:c>
      <x:c r="D162" s="4"/>
      <x:c r="E162" s="4"/>
      <x:c r="F162" s="4"/>
      <x:c r="G162" s="4"/>
      <x:c r="H162" s="4"/>
      <x:c r="I162" s="4"/>
      <x:c r="J162" s="4"/>
      <x:c r="K162" s="5"/>
      <x:c r="L162" s="5">
        <x:f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x:f>
      </x:c>
    </x:row>
    <x:row r="163" spans="1:12" ht="13.5" customHeight="1">
      <x:c r="A163" s="4">
        <x:v>8</x:v>
      </x:c>
      <x:c r="B163" s="45">
        <x:v>1344</x:v>
      </x:c>
      <x:c r="C163" s="45">
        <x:v>11</x:v>
      </x:c>
      <x:c r="D163" s="4"/>
      <x:c r="E163" s="4"/>
      <x:c r="F163" s="4"/>
      <x:c r="G163" s="4"/>
      <x:c r="H163" s="4"/>
      <x:c r="I163" s="4"/>
      <x:c r="J163" s="4"/>
      <x:c r="K163" s="5"/>
      <x:c r="L163" s="5">
        <x:f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x:f>
      </x:c>
    </x:row>
    <x:row r="164" spans="1:12" ht="13.5" customHeight="1">
      <x:c r="A164" s="4">
        <x:v>9</x:v>
      </x:c>
      <x:c r="B164" s="45">
        <x:v>4660</x:v>
      </x:c>
      <x:c r="C164" s="45">
        <x:v>77</x:v>
      </x:c>
      <x:c r="D164" s="4"/>
      <x:c r="E164" s="22"/>
      <x:c r="F164" s="22"/>
      <x:c r="G164" s="4"/>
      <x:c r="H164" s="4"/>
      <x:c r="I164" s="4"/>
      <x:c r="J164" s="4"/>
      <x:c r="K164" s="5"/>
      <x:c r="L164" s="5">
        <x:f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x:f>
      </x:c>
    </x:row>
    <x:row r="165" spans="1:12" ht="13.5" customHeight="1">
      <x:c r="A165" s="4">
        <x:v>10</x:v>
      </x:c>
      <x:c r="B165" s="45">
        <x:v>4911</x:v>
      </x:c>
      <x:c r="C165" s="45">
        <x:v>77</x:v>
      </x:c>
      <x:c r="D165" s="4"/>
      <x:c r="E165" s="22"/>
      <x:c r="F165" s="22"/>
      <x:c r="G165" s="4"/>
      <x:c r="H165" s="4"/>
      <x:c r="I165" s="4"/>
      <x:c r="J165" s="4"/>
      <x:c r="K165" s="5"/>
      <x:c r="L165" s="5">
        <x:f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x:f>
      </x:c>
    </x:row>
    <x:row r="166" spans="1:12" ht="13.5" customHeight="1">
      <x:c r="A166" s="4">
        <x:v>11</x:v>
      </x:c>
      <x:c r="B166" s="49">
        <x:v>4</x:v>
      </x:c>
      <x:c r="C166" s="45">
        <x:v>84</x:v>
      </x:c>
      <x:c r="D166" s="4"/>
      <x:c r="E166" s="22"/>
      <x:c r="F166" s="22"/>
      <x:c r="G166" s="4"/>
      <x:c r="H166" s="4"/>
      <x:c r="I166" s="4"/>
      <x:c r="J166" s="4"/>
      <x:c r="K166" s="5"/>
      <x:c r="L166" s="5">
        <x:f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x:f>
      </x:c>
    </x:row>
    <x:row r="167" spans="1:12" ht="13.5" customHeight="1">
      <x:c r="A167" s="4">
        <x:v>12</x:v>
      </x:c>
      <x:c r="B167" s="45">
        <x:v>5226</x:v>
      </x:c>
      <x:c r="C167" s="49">
        <x:v>84</x:v>
      </x:c>
      <x:c r="D167" s="4"/>
      <x:c r="E167" s="22"/>
      <x:c r="F167" s="22"/>
      <x:c r="G167" s="4"/>
      <x:c r="H167" s="4"/>
      <x:c r="I167" s="4"/>
      <x:c r="J167" s="4"/>
      <x:c r="K167" s="5"/>
      <x:c r="L167" s="5">
        <x:f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x:f>
      </x:c>
    </x:row>
    <x:row r="168" spans="1:12" ht="13.5" customHeight="1">
      <x:c r="A168" s="4">
        <x:v>13</x:v>
      </x:c>
      <x:c r="B168" s="45">
        <x:v>5232</x:v>
      </x:c>
      <x:c r="C168" s="45">
        <x:v>84</x:v>
      </x:c>
      <x:c r="D168" s="4"/>
      <x:c r="E168" s="22"/>
      <x:c r="F168" s="22"/>
      <x:c r="G168" s="4"/>
      <x:c r="H168" s="4"/>
      <x:c r="I168" s="4"/>
      <x:c r="J168" s="4"/>
      <x:c r="K168" s="5"/>
      <x:c r="L168" s="5">
        <x:f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x:f>
      </x:c>
    </x:row>
    <x:row r="169" spans="1:12" ht="13.5" customHeight="1">
      <x:c r="A169" s="4">
        <x:v>14</x:v>
      </x:c>
      <x:c r="B169" s="45">
        <x:v>5238</x:v>
      </x:c>
      <x:c r="C169" s="45">
        <x:v>84</x:v>
      </x:c>
      <x:c r="D169" s="4"/>
      <x:c r="E169" s="22"/>
      <x:c r="F169" s="22"/>
      <x:c r="G169" s="4"/>
      <x:c r="H169" s="4"/>
      <x:c r="I169" s="4"/>
      <x:c r="J169" s="4"/>
      <x:c r="K169" s="5"/>
      <x:c r="L169" s="5">
        <x:f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x:f>
      </x:c>
    </x:row>
    <x:row r="170" spans="1:12" ht="13.5" customHeight="1">
      <x:c r="A170" s="4">
        <x:v>15</x:v>
      </x:c>
      <x:c r="B170" s="45">
        <x:v>5244</x:v>
      </x:c>
      <x:c r="C170" s="45">
        <x:v>84</x:v>
      </x:c>
      <x:c r="D170" s="4"/>
      <x:c r="E170" s="22"/>
      <x:c r="F170" s="22"/>
      <x:c r="G170" s="4"/>
      <x:c r="H170" s="4"/>
      <x:c r="I170" s="4"/>
      <x:c r="J170" s="4"/>
      <x:c r="K170" s="5"/>
      <x:c r="L170" s="5">
        <x:f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x:f>
      </x:c>
    </x:row>
    <x:row r="171" spans="1:12" ht="13.5" customHeight="1">
      <x:c r="A171" s="4">
        <x:v>16</x:v>
      </x:c>
      <x:c r="B171" s="45">
        <x:v>5251</x:v>
      </x:c>
      <x:c r="C171" s="45">
        <x:v>84</x:v>
      </x:c>
      <x:c r="D171" s="4"/>
      <x:c r="E171" s="22"/>
      <x:c r="F171" s="22"/>
      <x:c r="G171" s="4"/>
      <x:c r="H171" s="4"/>
      <x:c r="I171" s="4"/>
      <x:c r="J171" s="4"/>
      <x:c r="K171" s="5"/>
      <x:c r="L171" s="5">
        <x:f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x:f>
      </x:c>
    </x:row>
    <x:row r="172" spans="1:12" ht="13.5" customHeight="1">
      <x:c r="A172" s="4">
        <x:v>17</x:v>
      </x:c>
      <x:c r="B172" s="45">
        <x:v>5260</x:v>
      </x:c>
      <x:c r="C172" s="45">
        <x:v>84</x:v>
      </x:c>
      <x:c r="D172" s="4"/>
      <x:c r="E172" s="22"/>
      <x:c r="F172" s="22"/>
      <x:c r="G172" s="4"/>
      <x:c r="H172" s="4"/>
      <x:c r="I172" s="4"/>
      <x:c r="J172" s="4"/>
      <x:c r="K172" s="5"/>
      <x:c r="L172" s="5">
        <x:f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x:f>
      </x:c>
    </x:row>
    <x:row r="173" spans="1:12" ht="13.5" customHeight="1">
      <x:c r="A173" s="4">
        <x:v>18</x:v>
      </x:c>
      <x:c r="B173" s="45">
        <x:v>5269</x:v>
      </x:c>
      <x:c r="C173" s="45">
        <x:v>84</x:v>
      </x:c>
      <x:c r="D173" s="4"/>
      <x:c r="E173" s="22"/>
      <x:c r="F173" s="22"/>
      <x:c r="G173" s="4"/>
      <x:c r="H173" s="4"/>
      <x:c r="I173" s="4"/>
      <x:c r="J173" s="4"/>
      <x:c r="K173" s="5"/>
      <x:c r="L173" s="5">
        <x:f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x:f>
      </x:c>
    </x:row>
    <x:row r="174" spans="1:12" ht="13.5" customHeight="1">
      <x:c r="A174" s="4">
        <x:v>19</x:v>
      </x:c>
      <x:c r="B174" s="45">
        <x:v>5275</x:v>
      </x:c>
      <x:c r="C174" s="45">
        <x:v>84</x:v>
      </x:c>
      <x:c r="D174" s="4"/>
      <x:c r="E174" s="22"/>
      <x:c r="F174" s="22"/>
      <x:c r="G174" s="4"/>
      <x:c r="H174" s="4"/>
      <x:c r="I174" s="4"/>
      <x:c r="J174" s="4"/>
      <x:c r="K174" s="5"/>
      <x:c r="L174" s="5">
        <x:f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x:f>
      </x:c>
    </x:row>
    <x:row r="175" spans="1:12" ht="13.5" customHeight="1">
      <x:c r="A175" s="4">
        <x:v>20</x:v>
      </x:c>
      <x:c r="B175" s="45">
        <x:v>5279</x:v>
      </x:c>
      <x:c r="C175" s="45">
        <x:v>84</x:v>
      </x:c>
      <x:c r="D175" s="4"/>
      <x:c r="E175" s="22"/>
      <x:c r="F175" s="22"/>
      <x:c r="G175" s="4"/>
      <x:c r="H175" s="4"/>
      <x:c r="I175" s="4"/>
      <x:c r="J175" s="4"/>
      <x:c r="K175" s="5"/>
      <x:c r="L175" s="5">
        <x:f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x:f>
      </x:c>
    </x:row>
    <x:row r="176" spans="1:12" ht="13.5" customHeight="1">
      <x:c r="A176" s="4">
        <x:v>21</x:v>
      </x:c>
      <x:c r="B176" s="45">
        <x:v>5283</x:v>
      </x:c>
      <x:c r="C176" s="45">
        <x:v>84</x:v>
      </x:c>
      <x:c r="D176" s="4"/>
      <x:c r="E176" s="22"/>
      <x:c r="F176" s="22"/>
      <x:c r="G176" s="4"/>
      <x:c r="H176" s="4"/>
      <x:c r="I176" s="4"/>
      <x:c r="J176" s="4"/>
      <x:c r="K176" s="5"/>
      <x:c r="L176" s="5">
        <x:f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x:f>
      </x:c>
    </x:row>
    <x:row r="177" spans="1:12" ht="13.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5"/>
      <x:c r="L177" s="5"/>
    </x:row>
    <x:row r="178" spans="1:12" ht="13.5" customHeight="1">
      <x:c r="A178" s="43" t="s">
        <x:v>44</x:v>
      </x:c>
      <x:c r="B178" s="4"/>
      <x:c r="C178" s="4"/>
      <x:c r="D178" s="4"/>
      <x:c r="E178" s="4"/>
      <x:c r="F178" s="4"/>
      <x:c r="G178" s="4"/>
      <x:c r="H178" s="4"/>
      <x:c r="I178" s="4"/>
      <x:c r="J178" s="4"/>
      <x:c r="K178" s="5"/>
      <x:c r="L178" s="5"/>
    </x:row>
    <x:row r="179" spans="1:12" ht="5.25" customHeight="1">
      <x:c r="A179" s="13"/>
      <x:c r="B179" s="4"/>
      <x:c r="C179" s="4"/>
      <x:c r="D179" s="4"/>
      <x:c r="E179" s="4"/>
      <x:c r="F179" s="4"/>
      <x:c r="G179" s="4"/>
      <x:c r="H179" s="4"/>
      <x:c r="I179" s="4"/>
      <x:c r="J179" s="4"/>
      <x:c r="K179" s="5"/>
      <x:c r="L179" s="5"/>
    </x:row>
    <x:row r="180" spans="1:12" ht="13.5" customHeight="1">
      <x:c r="A180" s="4">
        <x:v>1</x:v>
      </x:c>
      <x:c r="B180" s="45"/>
      <x:c r="C180" s="45"/>
      <x:c r="D180" s="4"/>
      <x:c r="E180" s="4"/>
      <x:c r="F180" s="4"/>
      <x:c r="G180" s="4"/>
      <x:c r="H180" s="4"/>
      <x:c r="I180" s="4"/>
      <x:c r="J180" s="4"/>
      <x:c r="K180" s="5"/>
      <x:c r="L180" s="5">
        <x:f>IFERROR(__xludf.DUMMYFUNCTION("IFS(
  B180="""", """",
  NOT(REGEXMATCH(TEXT(B180,""0""), ""^[0-9]+$"")), ""Error: Fleet must be a number"",
  NOT(AND(VALUE(B180)&gt;=11, VALUE(B180)&lt;=60)), ""Error: Enter a Correct Fleet Number"",
  TRUE, ""Valid""
)"),"")</x:f>
      </x:c>
    </x:row>
    <x:row r="181" spans="1:12" ht="13.5" customHeight="1">
      <x:c r="A181" s="4">
        <x:v>2</x:v>
      </x:c>
      <x:c r="B181" s="45"/>
      <x:c r="C181" s="45"/>
      <x:c r="D181" s="4"/>
      <x:c r="E181" s="4"/>
      <x:c r="F181" s="4"/>
      <x:c r="G181" s="4"/>
      <x:c r="H181" s="4"/>
      <x:c r="I181" s="4"/>
      <x:c r="J181" s="4"/>
      <x:c r="K181" s="5"/>
      <x:c r="L181" s="5">
        <x:f>IFERROR(__xludf.DUMMYFUNCTION("IFS(
  B181="""", """",
  NOT(REGEXMATCH(TEXT(B181,""0""), ""^[0-9]+$"")), ""Error: Fleet must be a number"",
  NOT(AND(VALUE(B181)&gt;=11, VALUE(B181)&lt;=60)), ""Error: Enter a Correct Fleet Number"",
  TRUE, ""Valid""
)"),"")</x:f>
      </x:c>
    </x:row>
    <x:row r="182" spans="1:12" ht="13.5" customHeight="1">
      <x:c r="A182" s="4">
        <x:v>3</x:v>
      </x:c>
      <x:c r="B182" s="45"/>
      <x:c r="C182" s="45"/>
      <x:c r="D182" s="4"/>
      <x:c r="E182" s="4"/>
      <x:c r="F182" s="4"/>
      <x:c r="G182" s="4"/>
      <x:c r="H182" s="4"/>
      <x:c r="I182" s="4"/>
      <x:c r="J182" s="4"/>
      <x:c r="K182" s="5"/>
      <x:c r="L182" s="5">
        <x:f>IFERROR(__xludf.DUMMYFUNCTION("IFS(
  B182="""", """",
  NOT(REGEXMATCH(TEXT(B182,""0""), ""^[0-9]+$"")), ""Error: Fleet must be a number"",
  NOT(AND(VALUE(B182)&gt;=11, VALUE(B182)&lt;=60)), ""Error: Enter a Correct Fleet Number"",
  TRUE, ""Valid""
)"),"")</x:f>
      </x:c>
    </x:row>
    <x:row r="183" spans="1:12" ht="13.5" customHeight="1">
      <x:c r="A183" s="4">
        <x:v>4</x:v>
      </x:c>
      <x:c r="B183" s="49"/>
      <x:c r="C183" s="45"/>
      <x:c r="D183" s="4"/>
      <x:c r="E183" s="4"/>
      <x:c r="F183" s="4"/>
      <x:c r="G183" s="4"/>
      <x:c r="H183" s="4"/>
      <x:c r="I183" s="4"/>
      <x:c r="J183" s="4"/>
      <x:c r="K183" s="5"/>
      <x:c r="L183" s="5">
        <x:f>IFERROR(__xludf.DUMMYFUNCTION("IFS(
  B183="""", """",
  NOT(REGEXMATCH(TEXT(B183,""0""), ""^[0-9]+$"")), ""Error: Fleet must be a number"",
  NOT(AND(VALUE(B183)&gt;=11, VALUE(B183)&lt;=60)), ""Error: Enter a Correct Fleet Number"",
  TRUE, ""Valid""
)"),"")</x:f>
      </x:c>
    </x:row>
    <x:row r="184" spans="1:12" ht="13.5" customHeight="1">
      <x:c r="A184" s="4">
        <x:v>5</x:v>
      </x:c>
      <x:c r="B184" s="45"/>
      <x:c r="C184" s="45"/>
      <x:c r="D184" s="4"/>
      <x:c r="E184" s="4"/>
      <x:c r="F184" s="4"/>
      <x:c r="G184" s="4"/>
      <x:c r="H184" s="4"/>
      <x:c r="I184" s="4"/>
      <x:c r="J184" s="4"/>
      <x:c r="K184" s="5"/>
      <x:c r="L184" s="5">
        <x:f>IFERROR(__xludf.DUMMYFUNCTION("IFS(
  B184="""", """",
  NOT(REGEXMATCH(TEXT(B184,""0""), ""^[0-9]+$"")), ""Error: Fleet must be a number"",
  NOT(AND(VALUE(B184)&gt;=11, VALUE(B184)&lt;=60)), ""Error: Enter a Correct Fleet Number"",
  TRUE, ""Valid""
)"),"")</x:f>
      </x:c>
    </x:row>
    <x:row r="185" spans="1:12" ht="13.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5"/>
      <x:c r="L185" s="5"/>
    </x:row>
    <x:row r="186" spans="1:12" ht="13.5" customHeight="1">
      <x:c r="A186" s="43" t="s">
        <x:v>45</x:v>
      </x:c>
      <x:c r="B186" s="4"/>
      <x:c r="C186" s="4"/>
      <x:c r="D186" s="4"/>
      <x:c r="E186" s="4"/>
      <x:c r="F186" s="4"/>
      <x:c r="G186" s="4"/>
      <x:c r="H186" s="4"/>
      <x:c r="I186" s="4"/>
      <x:c r="J186" s="4"/>
      <x:c r="K186" s="5"/>
      <x:c r="L186" s="5"/>
    </x:row>
    <x:row r="187" spans="1:12" ht="13.5" customHeight="1">
      <x:c r="A187" s="4"/>
      <x:c r="B187" s="4" t="s">
        <x:v>46</x:v>
      </x:c>
      <x:c r="C187" s="4" t="s">
        <x:v>47</x:v>
      </x:c>
      <x:c r="D187" s="4" t="s">
        <x:v>47</x:v>
      </x:c>
      <x:c r="E187" s="4" t="s">
        <x:v>47</x:v>
      </x:c>
      <x:c r="F187" s="4" t="s">
        <x:v>47</x:v>
      </x:c>
      <x:c r="G187" s="4" t="s">
        <x:v>47</x:v>
      </x:c>
      <x:c r="H187" s="4"/>
      <x:c r="I187" s="4"/>
      <x:c r="J187" s="4"/>
      <x:c r="K187" s="5"/>
      <x:c r="L187" s="5"/>
    </x:row>
    <x:row r="188" spans="1:12" ht="13.5" customHeight="1">
      <x:c r="A188" s="4">
        <x:v>1</x:v>
      </x:c>
      <x:c r="B188" s="49"/>
      <x:c r="C188" s="49"/>
      <x:c r="D188" s="49"/>
      <x:c r="E188" s="49"/>
      <x:c r="F188" s="49"/>
      <x:c r="G188" s="49"/>
      <x:c r="H188" s="4"/>
      <x:c r="I188" s="4"/>
      <x:c r="J188" s="4"/>
      <x:c r="K188" s="5"/>
      <x:c r="L188" s="5">
        <x:f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x:f>
      </x:c>
    </x:row>
    <x:row r="189" spans="1:12" ht="13.5" customHeight="1">
      <x:c r="A189" s="4">
        <x:v>2</x:v>
      </x:c>
      <x:c r="B189" s="49"/>
      <x:c r="C189" s="49"/>
      <x:c r="D189" s="49"/>
      <x:c r="E189" s="49"/>
      <x:c r="F189" s="49"/>
      <x:c r="G189" s="49"/>
      <x:c r="H189" s="4"/>
      <x:c r="I189" s="4"/>
      <x:c r="J189" s="4"/>
      <x:c r="K189" s="5"/>
      <x:c r="L189" s="5">
        <x:f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x:f>
      </x:c>
    </x:row>
    <x:row r="190" spans="1:12" ht="13.5" customHeight="1">
      <x:c r="A190" s="4">
        <x:v>3</x:v>
      </x:c>
      <x:c r="B190" s="45"/>
      <x:c r="C190" s="49"/>
      <x:c r="D190" s="49"/>
      <x:c r="E190" s="49"/>
      <x:c r="F190" s="49"/>
      <x:c r="G190" s="49"/>
      <x:c r="H190" s="4"/>
      <x:c r="I190" s="4"/>
      <x:c r="J190" s="4"/>
      <x:c r="K190" s="5"/>
      <x:c r="L190" s="5">
        <x:f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x:f>
      </x:c>
    </x:row>
    <x:row r="191" spans="1:12" ht="13.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5"/>
      <x:c r="L191" s="5"/>
    </x:row>
    <x:row r="192" spans="1:12" ht="13.5" customHeight="1">
      <x:c r="A192" s="43" t="s">
        <x:v>48</x:v>
      </x:c>
      <x:c r="B192" s="4"/>
      <x:c r="C192" s="4"/>
      <x:c r="D192" s="4"/>
      <x:c r="E192" s="4"/>
      <x:c r="F192" s="4"/>
      <x:c r="G192" s="4"/>
      <x:c r="H192" s="4"/>
      <x:c r="I192" s="4"/>
      <x:c r="J192" s="4"/>
      <x:c r="K192" s="5"/>
      <x:c r="L192" s="5"/>
    </x:row>
    <x:row r="193" spans="1:12" ht="13.5" customHeight="1">
      <x:c r="A193" s="4"/>
      <x:c r="B193" s="4" t="s">
        <x:v>49</x:v>
      </x:c>
      <x:c r="C193" s="4" t="s">
        <x:v>50</x:v>
      </x:c>
      <x:c r="D193" s="4" t="s">
        <x:v>51</x:v>
      </x:c>
      <x:c r="E193" s="4" t="s">
        <x:v>52</x:v>
      </x:c>
      <x:c r="F193" s="4"/>
      <x:c r="G193" s="4"/>
      <x:c r="H193" s="4"/>
      <x:c r="I193" s="4"/>
      <x:c r="J193" s="4"/>
      <x:c r="K193" s="5"/>
      <x:c r="L193" s="5"/>
    </x:row>
    <x:row r="194" spans="1:12" ht="13.5" customHeight="1">
      <x:c r="A194" s="4">
        <x:v>1</x:v>
      </x:c>
      <x:c r="B194" s="45">
        <x:v>21</x:v>
      </x:c>
      <x:c r="C194" s="45">
        <x:v>1</x:v>
      </x:c>
      <x:c r="D194" s="45">
        <x:v>1</x:v>
      </x:c>
      <x:c r="E194" s="45">
        <x:v>117</x:v>
      </x:c>
      <x:c r="F194" s="4"/>
      <x:c r="G194" s="4"/>
      <x:c r="H194" s="4"/>
      <x:c r="I194" s="4"/>
      <x:c r="J194" s="4"/>
      <x:c r="K194" s="5"/>
      <x:c r="L194" s="5">
        <x:f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x:f>
      </x:c>
    </x:row>
    <x:row r="195" spans="1:12" ht="13.5" customHeight="1">
      <x:c r="A195" s="4">
        <x:v>2</x:v>
      </x:c>
      <x:c r="B195" s="45">
        <x:v>16</x:v>
      </x:c>
      <x:c r="C195" s="45">
        <x:v>500</x:v>
      </x:c>
      <x:c r="D195" s="45">
        <x:v>1</x:v>
      </x:c>
      <x:c r="E195" s="45">
        <x:v>118</x:v>
      </x:c>
      <x:c r="F195" s="4"/>
      <x:c r="G195" s="4"/>
      <x:c r="H195" s="4"/>
      <x:c r="I195" s="4"/>
      <x:c r="J195" s="4"/>
      <x:c r="K195" s="5"/>
      <x:c r="L195" s="5">
        <x:f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x:f>
      </x:c>
    </x:row>
    <x:row r="196" spans="1:12" ht="13.5" customHeight="1">
      <x:c r="A196" s="4">
        <x:v>3</x:v>
      </x:c>
      <x:c r="B196" s="49">
        <x:v>16</x:v>
      </x:c>
      <x:c r="C196" s="49">
        <x:v>500</x:v>
      </x:c>
      <x:c r="D196" s="45">
        <x:v>1</x:v>
      </x:c>
      <x:c r="E196" s="45">
        <x:v>118</x:v>
      </x:c>
      <x:c r="F196" s="4"/>
      <x:c r="G196" s="4"/>
      <x:c r="H196" s="4"/>
      <x:c r="I196" s="4"/>
      <x:c r="J196" s="4"/>
      <x:c r="K196" s="5"/>
      <x:c r="L196" s="5">
        <x:f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x:f>
      </x:c>
    </x:row>
    <x:row r="197" spans="1:12" ht="13.5" customHeight="1">
      <x:c r="A197" s="4">
        <x:v>4</x:v>
      </x:c>
      <x:c r="B197" s="45">
        <x:v>16</x:v>
      </x:c>
      <x:c r="C197" s="45">
        <x:v>500</x:v>
      </x:c>
      <x:c r="D197" s="45">
        <x:v>1</x:v>
      </x:c>
      <x:c r="E197" s="45">
        <x:v>118</x:v>
      </x:c>
      <x:c r="F197" s="4"/>
      <x:c r="G197" s="4"/>
      <x:c r="H197" s="4"/>
      <x:c r="I197" s="4"/>
      <x:c r="J197" s="4"/>
      <x:c r="K197" s="5"/>
      <x:c r="L197" s="5">
        <x:f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x:f>
      </x:c>
    </x:row>
    <x:row r="198" spans="1:12" ht="13.5" customHeight="1">
      <x:c r="A198" s="4">
        <x:v>5</x:v>
      </x:c>
      <x:c r="B198" s="45">
        <x:v>16</x:v>
      </x:c>
      <x:c r="C198" s="45">
        <x:v>500</x:v>
      </x:c>
      <x:c r="D198" s="45">
        <x:v>1</x:v>
      </x:c>
      <x:c r="E198" s="45">
        <x:v>118</x:v>
      </x:c>
      <x:c r="F198" s="4"/>
      <x:c r="G198" s="4"/>
      <x:c r="H198" s="4"/>
      <x:c r="I198" s="4"/>
      <x:c r="J198" s="4"/>
      <x:c r="K198" s="5"/>
      <x:c r="L198" s="5">
        <x:f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x:f>
      </x:c>
    </x:row>
    <x:row r="199" spans="1:12" ht="13.5" customHeight="1">
      <x:c r="A199" s="4">
        <x:v>6</x:v>
      </x:c>
      <x:c r="B199" s="45">
        <x:v>16</x:v>
      </x:c>
      <x:c r="C199" s="45">
        <x:v>500</x:v>
      </x:c>
      <x:c r="D199" s="45">
        <x:v>1</x:v>
      </x:c>
      <x:c r="E199" s="45">
        <x:v>118</x:v>
      </x:c>
      <x:c r="F199" s="4"/>
      <x:c r="G199" s="4"/>
      <x:c r="H199" s="4"/>
      <x:c r="I199" s="4"/>
      <x:c r="J199" s="4"/>
      <x:c r="K199" s="5"/>
      <x:c r="L199" s="5">
        <x:f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x:f>
      </x:c>
    </x:row>
    <x:row r="200" spans="1:12" ht="13.5" customHeight="1">
      <x:c r="A200" s="4">
        <x:v>7</x:v>
      </x:c>
      <x:c r="B200" s="45">
        <x:v>16</x:v>
      </x:c>
      <x:c r="C200" s="45">
        <x:v>500</x:v>
      </x:c>
      <x:c r="D200" s="45">
        <x:v>1</x:v>
      </x:c>
      <x:c r="E200" s="45">
        <x:v>118</x:v>
      </x:c>
      <x:c r="F200" s="4"/>
      <x:c r="G200" s="4"/>
      <x:c r="H200" s="4"/>
      <x:c r="I200" s="4"/>
      <x:c r="J200" s="4"/>
      <x:c r="K200" s="5"/>
      <x:c r="L200" s="5">
        <x:f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x:f>
      </x:c>
    </x:row>
    <x:row r="201" spans="1:12" ht="13.5" customHeight="1">
      <x:c r="A201" s="4">
        <x:v>8</x:v>
      </x:c>
      <x:c r="B201" s="45">
        <x:v>16</x:v>
      </x:c>
      <x:c r="C201" s="45">
        <x:v>500</x:v>
      </x:c>
      <x:c r="D201" s="45">
        <x:v>1</x:v>
      </x:c>
      <x:c r="E201" s="45">
        <x:v>118</x:v>
      </x:c>
      <x:c r="F201" s="4"/>
      <x:c r="G201" s="4"/>
      <x:c r="H201" s="4"/>
      <x:c r="I201" s="4"/>
      <x:c r="J201" s="4"/>
      <x:c r="K201" s="5"/>
      <x:c r="L201" s="5">
        <x:f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x:f>
      </x:c>
    </x:row>
    <x:row r="202" spans="1:12" ht="13.5" customHeight="1">
      <x:c r="A202" s="4">
        <x:v>9</x:v>
      </x:c>
      <x:c r="B202" s="45">
        <x:v>16</x:v>
      </x:c>
      <x:c r="C202" s="45">
        <x:v>500</x:v>
      </x:c>
      <x:c r="D202" s="45">
        <x:v>1</x:v>
      </x:c>
      <x:c r="E202" s="45">
        <x:v>118</x:v>
      </x:c>
      <x:c r="F202" s="4"/>
      <x:c r="G202" s="4"/>
      <x:c r="H202" s="4"/>
      <x:c r="I202" s="4"/>
      <x:c r="J202" s="4"/>
      <x:c r="K202" s="5"/>
      <x:c r="L202" s="5">
        <x:f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x:f>
      </x:c>
    </x:row>
    <x:row r="203" spans="1:12" ht="13.5" customHeight="1">
      <x:c r="A203" s="4">
        <x:v>10</x:v>
      </x:c>
      <x:c r="B203" s="45">
        <x:v>16</x:v>
      </x:c>
      <x:c r="C203" s="45">
        <x:v>500</x:v>
      </x:c>
      <x:c r="D203" s="45">
        <x:v>1</x:v>
      </x:c>
      <x:c r="E203" s="45">
        <x:v>118</x:v>
      </x:c>
      <x:c r="F203" s="4"/>
      <x:c r="G203" s="4"/>
      <x:c r="H203" s="4"/>
      <x:c r="I203" s="4"/>
      <x:c r="J203" s="4"/>
      <x:c r="K203" s="5"/>
      <x:c r="L203" s="5">
        <x:f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x:f>
      </x:c>
    </x:row>
    <x:row r="204" spans="1:12" ht="13.5" customHeight="1">
      <x:c r="A204" s="4">
        <x:v>11</x:v>
      </x:c>
      <x:c r="B204" s="45">
        <x:v>16</x:v>
      </x:c>
      <x:c r="C204" s="49">
        <x:v>500</x:v>
      </x:c>
      <x:c r="D204" s="45">
        <x:v>1</x:v>
      </x:c>
      <x:c r="E204" s="45">
        <x:v>118</x:v>
      </x:c>
      <x:c r="F204" s="4"/>
      <x:c r="G204" s="4"/>
      <x:c r="H204" s="4"/>
      <x:c r="I204" s="4"/>
      <x:c r="J204" s="4"/>
      <x:c r="K204" s="5"/>
      <x:c r="L204" s="5">
        <x:f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x:f>
      </x:c>
    </x:row>
    <x:row r="205" spans="1:12" ht="13.5" customHeight="1">
      <x:c r="A205" s="4">
        <x:v>12</x:v>
      </x:c>
      <x:c r="B205" s="45">
        <x:v>16</x:v>
      </x:c>
      <x:c r="C205" s="45">
        <x:v>500</x:v>
      </x:c>
      <x:c r="D205" s="45">
        <x:v>1</x:v>
      </x:c>
      <x:c r="E205" s="45">
        <x:v>118</x:v>
      </x:c>
      <x:c r="F205" s="4"/>
      <x:c r="G205" s="4"/>
      <x:c r="H205" s="4"/>
      <x:c r="I205" s="4"/>
      <x:c r="J205" s="4"/>
      <x:c r="K205" s="5"/>
      <x:c r="L205" s="5">
        <x:f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x:f>
      </x:c>
    </x:row>
    <x:row r="206" spans="1:12" ht="13.5" customHeight="1">
      <x:c r="A206" s="4">
        <x:v>13</x:v>
      </x:c>
      <x:c r="B206" s="45">
        <x:v>16</x:v>
      </x:c>
      <x:c r="C206" s="45">
        <x:v>500</x:v>
      </x:c>
      <x:c r="D206" s="45">
        <x:v>1</x:v>
      </x:c>
      <x:c r="E206" s="45">
        <x:v>118</x:v>
      </x:c>
      <x:c r="F206" s="4"/>
      <x:c r="G206" s="4"/>
      <x:c r="H206" s="4"/>
      <x:c r="I206" s="4"/>
      <x:c r="J206" s="4"/>
      <x:c r="K206" s="5"/>
      <x:c r="L206" s="5">
        <x:f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x:f>
      </x:c>
    </x:row>
    <x:row r="207" spans="1:12" ht="13.5" customHeight="1">
      <x:c r="A207" s="4">
        <x:v>14</x:v>
      </x:c>
      <x:c r="B207" s="45">
        <x:v>16</x:v>
      </x:c>
      <x:c r="C207" s="45">
        <x:v>500</x:v>
      </x:c>
      <x:c r="D207" s="45">
        <x:v>1</x:v>
      </x:c>
      <x:c r="E207" s="45">
        <x:v>118</x:v>
      </x:c>
      <x:c r="F207" s="4"/>
      <x:c r="G207" s="4"/>
      <x:c r="H207" s="4"/>
      <x:c r="I207" s="4"/>
      <x:c r="J207" s="4"/>
      <x:c r="K207" s="5"/>
      <x:c r="L207" s="5">
        <x:f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x:f>
      </x:c>
    </x:row>
    <x:row r="208" spans="1:12" ht="13.5" customHeight="1">
      <x:c r="A208" s="4">
        <x:v>15</x:v>
      </x:c>
      <x:c r="B208" s="45">
        <x:v>16</x:v>
      </x:c>
      <x:c r="C208" s="45">
        <x:v>500</x:v>
      </x:c>
      <x:c r="D208" s="45">
        <x:v>1</x:v>
      </x:c>
      <x:c r="E208" s="45">
        <x:v>118</x:v>
      </x:c>
      <x:c r="F208" s="4"/>
      <x:c r="G208" s="4"/>
      <x:c r="H208" s="4"/>
      <x:c r="I208" s="4"/>
      <x:c r="J208" s="4"/>
      <x:c r="K208" s="5"/>
      <x:c r="L208" s="5">
        <x:f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x:f>
      </x:c>
    </x:row>
    <x:row r="209" spans="1:12" ht="13.5" customHeight="1">
      <x:c r="A209" s="4">
        <x:v>16</x:v>
      </x:c>
      <x:c r="B209" s="45">
        <x:v>16</x:v>
      </x:c>
      <x:c r="C209" s="45">
        <x:v>500</x:v>
      </x:c>
      <x:c r="D209" s="45">
        <x:v>1</x:v>
      </x:c>
      <x:c r="E209" s="45">
        <x:v>118</x:v>
      </x:c>
      <x:c r="F209" s="4"/>
      <x:c r="G209" s="4"/>
      <x:c r="H209" s="4"/>
      <x:c r="I209" s="4"/>
      <x:c r="J209" s="4"/>
      <x:c r="K209" s="5"/>
      <x:c r="L209" s="5">
        <x:f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x:f>
      </x:c>
    </x:row>
    <x:row r="210" spans="1:12" ht="13.5" customHeight="1">
      <x:c r="A210" s="4">
        <x:v>17</x:v>
      </x:c>
      <x:c r="B210" s="45">
        <x:v>16</x:v>
      </x:c>
      <x:c r="C210" s="45">
        <x:v>500</x:v>
      </x:c>
      <x:c r="D210" s="45">
        <x:v>1</x:v>
      </x:c>
      <x:c r="E210" s="45">
        <x:v>118</x:v>
      </x:c>
      <x:c r="F210" s="4"/>
      <x:c r="G210" s="4"/>
      <x:c r="H210" s="4"/>
      <x:c r="I210" s="4"/>
      <x:c r="J210" s="4"/>
      <x:c r="K210" s="5"/>
      <x:c r="L210" s="5">
        <x:f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x:f>
      </x:c>
    </x:row>
    <x:row r="211" spans="1:12" ht="13.5" customHeight="1">
      <x:c r="A211" s="4">
        <x:v>18</x:v>
      </x:c>
      <x:c r="B211" s="45"/>
      <x:c r="C211" s="45"/>
      <x:c r="D211" s="45"/>
      <x:c r="E211" s="45"/>
      <x:c r="F211" s="4"/>
      <x:c r="G211" s="4"/>
      <x:c r="H211" s="4"/>
      <x:c r="I211" s="4"/>
      <x:c r="J211" s="4"/>
      <x:c r="K211" s="5"/>
      <x:c r="L211" s="5">
        <x:f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x:f>
      </x:c>
    </x:row>
    <x:row r="212" spans="1:12" ht="13.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5"/>
      <x:c r="L212" s="5"/>
    </x:row>
    <x:row r="213" spans="1:12" ht="13.5" customHeight="1">
      <x:c r="A213" s="43" t="s">
        <x:v>53</x:v>
      </x:c>
      <x:c r="B213" s="4"/>
      <x:c r="C213" s="4"/>
      <x:c r="D213" s="4"/>
      <x:c r="E213" s="4"/>
      <x:c r="F213" s="4"/>
      <x:c r="G213" s="4"/>
      <x:c r="H213" s="4"/>
      <x:c r="I213" s="4"/>
      <x:c r="J213" s="4"/>
      <x:c r="K213" s="5"/>
      <x:c r="L213" s="5"/>
    </x:row>
    <x:row r="214" spans="1:12" ht="13.5" customHeight="1">
      <x:c r="A214" s="4"/>
      <x:c r="B214" s="4" t="s">
        <x:v>54</x:v>
      </x:c>
      <x:c r="C214" s="4" t="s">
        <x:v>55</x:v>
      </x:c>
      <x:c r="D214" s="4" t="s">
        <x:v>56</x:v>
      </x:c>
      <x:c r="E214" s="4" t="s">
        <x:v>57</x:v>
      </x:c>
      <x:c r="F214" s="4" t="s">
        <x:v>58</x:v>
      </x:c>
      <x:c r="G214" s="4" t="s">
        <x:v>59</x:v>
      </x:c>
      <x:c r="H214" s="4" t="s">
        <x:v>60</x:v>
      </x:c>
      <x:c r="I214" s="4"/>
      <x:c r="J214" s="4"/>
      <x:c r="K214" s="5"/>
      <x:c r="L214" s="5"/>
    </x:row>
    <x:row r="215" spans="1:12" ht="13.5" customHeight="1">
      <x:c r="A215" s="4">
        <x:v>1</x:v>
      </x:c>
      <x:c r="B215" s="49">
        <x:v>4073</x:v>
      </x:c>
      <x:c r="C215" s="45">
        <x:v>3</x:v>
      </x:c>
      <x:c r="D215" s="45">
        <x:v>1</x:v>
      </x:c>
      <x:c r="E215" s="45">
        <x:v>4</x:v>
      </x:c>
      <x:c r="F215" s="45">
        <x:v>3</x:v>
      </x:c>
      <x:c r="G215" s="45">
        <x:v>5</x:v>
      </x:c>
      <x:c r="H215" s="45">
        <x:v>1</x:v>
      </x:c>
      <x:c r="I215" s="4"/>
      <x:c r="J215" s="4"/>
      <x:c r="K215" s="5"/>
      <x:c r="L215" s="5">
        <x:f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x:f>
      </x:c>
    </x:row>
    <x:row r="216" spans="1:12" ht="13.5" customHeight="1">
      <x:c r="A216" s="4">
        <x:v>2</x:v>
      </x:c>
      <x:c r="B216" s="45">
        <x:v>61</x:v>
      </x:c>
      <x:c r="C216" s="45">
        <x:v>3</x:v>
      </x:c>
      <x:c r="D216" s="45">
        <x:v>1</x:v>
      </x:c>
      <x:c r="E216" s="45">
        <x:v>4</x:v>
      </x:c>
      <x:c r="F216" s="45">
        <x:v>3</x:v>
      </x:c>
      <x:c r="G216" s="45">
        <x:v>5</x:v>
      </x:c>
      <x:c r="H216" s="45">
        <x:v>1</x:v>
      </x:c>
      <x:c r="I216" s="4"/>
      <x:c r="J216" s="4"/>
      <x:c r="K216" s="5"/>
      <x:c r="L216" s="5">
        <x:f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x:f>
      </x:c>
    </x:row>
    <x:row r="217" spans="1:12" ht="13.5" customHeight="1">
      <x:c r="A217" s="4">
        <x:v>3</x:v>
      </x:c>
      <x:c r="B217" s="45">
        <x:v>91</x:v>
      </x:c>
      <x:c r="C217" s="45"/>
      <x:c r="D217" s="45"/>
      <x:c r="E217" s="45"/>
      <x:c r="F217" s="45"/>
      <x:c r="G217" s="45"/>
      <x:c r="H217" s="45"/>
      <x:c r="I217" s="4"/>
      <x:c r="J217" s="4"/>
      <x:c r="K217" s="5"/>
      <x:c r="L217" s="5">
        <x:f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x:f>
      </x:c>
    </x:row>
    <x:row r="218" spans="1:12" ht="13.5" customHeight="1">
      <x:c r="A218" s="4">
        <x:v>4</x:v>
      </x:c>
      <x:c r="B218" s="45">
        <x:v>5794</x:v>
      </x:c>
      <x:c r="C218" s="45"/>
      <x:c r="D218" s="45"/>
      <x:c r="E218" s="45"/>
      <x:c r="F218" s="45"/>
      <x:c r="G218" s="45"/>
      <x:c r="H218" s="45"/>
      <x:c r="I218" s="4"/>
      <x:c r="J218" s="4"/>
      <x:c r="K218" s="5"/>
      <x:c r="L218" s="5">
        <x:f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x:f>
      </x:c>
    </x:row>
    <x:row r="219" spans="1:12" ht="13.5" customHeight="1">
      <x:c r="A219" s="4">
        <x:v>5</x:v>
      </x:c>
      <x:c r="B219" s="45">
        <x:v>4482</x:v>
      </x:c>
      <x:c r="C219" s="45"/>
      <x:c r="D219" s="45"/>
      <x:c r="E219" s="45"/>
      <x:c r="F219" s="45"/>
      <x:c r="G219" s="45"/>
      <x:c r="H219" s="45"/>
      <x:c r="I219" s="4"/>
      <x:c r="J219" s="4"/>
      <x:c r="K219" s="5"/>
      <x:c r="L219" s="5">
        <x:f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x:f>
      </x:c>
    </x:row>
    <x:row r="220" spans="1:12" ht="13.5" customHeight="1">
      <x:c r="A220" s="4">
        <x:v>6</x:v>
      </x:c>
      <x:c r="B220" s="45">
        <x:v>77</x:v>
      </x:c>
      <x:c r="C220" s="45">
        <x:v>8</x:v>
      </x:c>
      <x:c r="D220" s="45">
        <x:v>1</x:v>
      </x:c>
      <x:c r="E220" s="45">
        <x:v>1</x:v>
      </x:c>
      <x:c r="F220" s="45">
        <x:v>2</x:v>
      </x:c>
      <x:c r="G220" s="45"/>
      <x:c r="H220" s="45"/>
      <x:c r="I220" s="4"/>
      <x:c r="J220" s="4"/>
      <x:c r="K220" s="5"/>
      <x:c r="L220" s="5">
        <x:f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x:f>
      </x:c>
    </x:row>
    <x:row r="221" spans="1:12" ht="13.5" customHeight="1">
      <x:c r="A221" s="4">
        <x:v>7</x:v>
      </x:c>
      <x:c r="B221" s="45">
        <x:v>79</x:v>
      </x:c>
      <x:c r="C221" s="45">
        <x:v>1</x:v>
      </x:c>
      <x:c r="D221" s="45">
        <x:v>2</x:v>
      </x:c>
      <x:c r="E221" s="45">
        <x:v>8</x:v>
      </x:c>
      <x:c r="F221" s="45">
        <x:v>1</x:v>
      </x:c>
      <x:c r="G221" s="45"/>
      <x:c r="H221" s="45"/>
      <x:c r="I221" s="4"/>
      <x:c r="J221" s="4"/>
      <x:c r="K221" s="5"/>
      <x:c r="L221" s="5">
        <x:f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x:f>
      </x:c>
    </x:row>
    <x:row r="222" spans="1:12" ht="13.5" customHeight="1">
      <x:c r="A222" s="4">
        <x:v>8</x:v>
      </x:c>
      <x:c r="B222" s="45">
        <x:v>80</x:v>
      </x:c>
      <x:c r="C222" s="45">
        <x:v>7</x:v>
      </x:c>
      <x:c r="D222" s="45">
        <x:v>2</x:v>
      </x:c>
      <x:c r="E222" s="45">
        <x:v>1</x:v>
      </x:c>
      <x:c r="F222" s="45">
        <x:v>3</x:v>
      </x:c>
      <x:c r="G222" s="45"/>
      <x:c r="H222" s="45"/>
      <x:c r="I222" s="4"/>
      <x:c r="J222" s="4"/>
      <x:c r="K222" s="5"/>
      <x:c r="L222" s="5">
        <x:f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x:f>
      </x:c>
    </x:row>
    <x:row r="223" spans="1:12" ht="13.5" customHeight="1">
      <x:c r="A223" s="4">
        <x:v>9</x:v>
      </x:c>
      <x:c r="B223" s="45">
        <x:v>84</x:v>
      </x:c>
      <x:c r="C223" s="45">
        <x:v>1</x:v>
      </x:c>
      <x:c r="D223" s="45">
        <x:v>2</x:v>
      </x:c>
      <x:c r="E223" s="45">
        <x:v>2</x:v>
      </x:c>
      <x:c r="F223" s="45">
        <x:v>1</x:v>
      </x:c>
      <x:c r="G223" s="45"/>
      <x:c r="H223" s="45"/>
      <x:c r="I223" s="4"/>
      <x:c r="J223" s="4"/>
      <x:c r="K223" s="5"/>
      <x:c r="L223" s="5">
        <x:f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x:f>
      </x:c>
    </x:row>
    <x:row r="224" spans="1:12" ht="13.5" customHeight="1">
      <x:c r="A224" s="4">
        <x:v>10</x:v>
      </x:c>
      <x:c r="B224" s="45">
        <x:v>9</x:v>
      </x:c>
      <x:c r="C224" s="49">
        <x:v>2</x:v>
      </x:c>
      <x:c r="D224" s="45">
        <x:v>2</x:v>
      </x:c>
      <x:c r="E224" s="49">
        <x:v>4</x:v>
      </x:c>
      <x:c r="F224" s="49">
        <x:v>7</x:v>
      </x:c>
      <x:c r="G224" s="49">
        <x:v>3</x:v>
      </x:c>
      <x:c r="H224" s="49">
        <x:v>5</x:v>
      </x:c>
      <x:c r="I224" s="4"/>
      <x:c r="J224" s="4"/>
      <x:c r="K224" s="5"/>
      <x:c r="L224" s="5">
        <x:f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x:f>
      </x:c>
    </x:row>
    <x:row r="225" spans="1:12" ht="13.5" customHeight="1">
      <x:c r="A225" s="4">
        <x:v>11</x:v>
      </x:c>
      <x:c r="B225" s="45">
        <x:v>11</x:v>
      </x:c>
      <x:c r="C225" s="45"/>
      <x:c r="D225" s="45"/>
      <x:c r="E225" s="45"/>
      <x:c r="F225" s="45"/>
      <x:c r="G225" s="45"/>
      <x:c r="H225" s="45"/>
      <x:c r="I225" s="4"/>
      <x:c r="J225" s="4"/>
      <x:c r="K225" s="5"/>
      <x:c r="L225" s="5">
        <x:f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x:f>
      </x:c>
    </x:row>
    <x:row r="226" spans="1:12" ht="13.5" customHeight="1">
      <x:c r="A226" s="4">
        <x:v>12</x:v>
      </x:c>
      <x:c r="B226" s="45">
        <x:v>92</x:v>
      </x:c>
      <x:c r="C226" s="45">
        <x:v>6</x:v>
      </x:c>
      <x:c r="D226" s="45">
        <x:v>2</x:v>
      </x:c>
      <x:c r="E226" s="45">
        <x:v>4</x:v>
      </x:c>
      <x:c r="F226" s="45">
        <x:v>1</x:v>
      </x:c>
      <x:c r="G226" s="45"/>
      <x:c r="H226" s="45"/>
      <x:c r="I226" s="4"/>
      <x:c r="J226" s="4"/>
      <x:c r="K226" s="5"/>
      <x:c r="L226" s="5">
        <x:f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x:f>
      </x:c>
    </x:row>
    <x:row r="227" spans="1:12" ht="13.5" customHeight="1">
      <x:c r="A227" s="4">
        <x:v>13</x:v>
      </x:c>
      <x:c r="B227" s="45">
        <x:v>91</x:v>
      </x:c>
      <x:c r="C227" s="45">
        <x:v>6</x:v>
      </x:c>
      <x:c r="D227" s="45">
        <x:v>1</x:v>
      </x:c>
      <x:c r="E227" s="45"/>
      <x:c r="F227" s="45"/>
      <x:c r="G227" s="45"/>
      <x:c r="H227" s="45"/>
      <x:c r="I227" s="4"/>
      <x:c r="J227" s="4"/>
      <x:c r="K227" s="5"/>
      <x:c r="L227" s="5">
        <x:f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x:f>
      </x:c>
    </x:row>
    <x:row r="228" spans="1:12" ht="13.5" customHeight="1">
      <x:c r="A228" s="4">
        <x:v>14</x:v>
      </x:c>
      <x:c r="B228" s="45">
        <x:v>93</x:v>
      </x:c>
      <x:c r="C228" s="45">
        <x:v>3</x:v>
      </x:c>
      <x:c r="D228" s="45">
        <x:v>2</x:v>
      </x:c>
      <x:c r="E228" s="45">
        <x:v>4</x:v>
      </x:c>
      <x:c r="F228" s="45">
        <x:v>8</x:v>
      </x:c>
      <x:c r="G228" s="45"/>
      <x:c r="H228" s="45"/>
      <x:c r="I228" s="4"/>
      <x:c r="J228" s="4"/>
      <x:c r="K228" s="5"/>
      <x:c r="L228" s="5">
        <x:f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x:f>
      </x:c>
    </x:row>
    <x:row r="229" spans="1:12" ht="13.5" customHeight="1">
      <x:c r="A229" s="4">
        <x:v>15</x:v>
      </x:c>
      <x:c r="B229" s="45"/>
      <x:c r="C229" s="45"/>
      <x:c r="D229" s="45"/>
      <x:c r="E229" s="45"/>
      <x:c r="F229" s="45"/>
      <x:c r="G229" s="45"/>
      <x:c r="H229" s="45"/>
      <x:c r="I229" s="4"/>
      <x:c r="J229" s="4"/>
      <x:c r="K229" s="5"/>
      <x:c r="L229" s="5">
        <x:f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x:f>
      </x:c>
    </x:row>
    <x:row r="230" spans="1:12" ht="13.5" customHeight="1">
      <x:c r="A230" s="4">
        <x:v>16</x:v>
      </x:c>
      <x:c r="B230" s="45"/>
      <x:c r="C230" s="45"/>
      <x:c r="D230" s="45"/>
      <x:c r="E230" s="45"/>
      <x:c r="F230" s="45"/>
      <x:c r="G230" s="45"/>
      <x:c r="H230" s="45"/>
      <x:c r="I230" s="4"/>
      <x:c r="J230" s="4"/>
      <x:c r="K230" s="5"/>
      <x:c r="L230" s="5">
        <x:f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x:f>
      </x:c>
    </x:row>
    <x:row r="231" spans="1:12" ht="13.5" customHeight="1">
      <x:c r="A231" s="4">
        <x:v>17</x:v>
      </x:c>
      <x:c r="B231" s="45"/>
      <x:c r="C231" s="45"/>
      <x:c r="D231" s="45"/>
      <x:c r="E231" s="45"/>
      <x:c r="F231" s="45"/>
      <x:c r="G231" s="45"/>
      <x:c r="H231" s="45"/>
      <x:c r="I231" s="4"/>
      <x:c r="J231" s="4"/>
      <x:c r="K231" s="5"/>
      <x:c r="L231" s="5">
        <x:f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x:f>
      </x:c>
    </x:row>
    <x:row r="232" spans="1:12" ht="13.5" customHeight="1">
      <x:c r="A232" s="4">
        <x:v>18</x:v>
      </x:c>
      <x:c r="B232" s="45"/>
      <x:c r="C232" s="45"/>
      <x:c r="D232" s="45"/>
      <x:c r="E232" s="45"/>
      <x:c r="F232" s="45"/>
      <x:c r="G232" s="45"/>
      <x:c r="H232" s="45"/>
      <x:c r="I232" s="4"/>
      <x:c r="J232" s="4"/>
      <x:c r="K232" s="5"/>
      <x:c r="L232" s="5">
        <x:f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x:f>
      </x:c>
    </x:row>
    <x:row r="233" spans="1:12" ht="13.5" customHeight="1">
      <x:c r="A233" s="4">
        <x:v>19</x:v>
      </x:c>
      <x:c r="B233" s="45"/>
      <x:c r="C233" s="45"/>
      <x:c r="D233" s="45"/>
      <x:c r="E233" s="45"/>
      <x:c r="F233" s="45"/>
      <x:c r="G233" s="45"/>
      <x:c r="H233" s="45"/>
      <x:c r="I233" s="4"/>
      <x:c r="J233" s="4"/>
      <x:c r="K233" s="5"/>
      <x:c r="L233" s="5">
        <x:f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x:f>
      </x:c>
    </x:row>
    <x:row r="234" spans="1:12" ht="13.5" customHeight="1">
      <x:c r="A234" s="4">
        <x:v>20</x:v>
      </x:c>
      <x:c r="B234" s="45"/>
      <x:c r="C234" s="45"/>
      <x:c r="D234" s="45"/>
      <x:c r="E234" s="45"/>
      <x:c r="F234" s="45"/>
      <x:c r="G234" s="45"/>
      <x:c r="H234" s="45"/>
      <x:c r="I234" s="4"/>
      <x:c r="J234" s="4"/>
      <x:c r="K234" s="5"/>
      <x:c r="L234" s="5">
        <x:f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x:f>
      </x:c>
    </x:row>
    <x:row r="235" spans="1:12" ht="13.5" customHeight="1">
      <x:c r="A235" s="4">
        <x:v>21</x:v>
      </x:c>
      <x:c r="B235" s="45"/>
      <x:c r="C235" s="45"/>
      <x:c r="D235" s="45"/>
      <x:c r="E235" s="45"/>
      <x:c r="F235" s="45"/>
      <x:c r="G235" s="45"/>
      <x:c r="H235" s="45"/>
      <x:c r="I235" s="4"/>
      <x:c r="J235" s="4"/>
      <x:c r="K235" s="5"/>
      <x:c r="L235" s="5">
        <x:f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x:f>
      </x:c>
    </x:row>
    <x:row r="236" spans="1:12" ht="13.5" customHeight="1">
      <x:c r="A236" s="4">
        <x:v>22</x:v>
      </x:c>
      <x:c r="B236" s="45"/>
      <x:c r="C236" s="45"/>
      <x:c r="D236" s="45"/>
      <x:c r="E236" s="45"/>
      <x:c r="F236" s="45"/>
      <x:c r="G236" s="45"/>
      <x:c r="H236" s="45"/>
      <x:c r="I236" s="4"/>
      <x:c r="J236" s="4"/>
      <x:c r="K236" s="5"/>
      <x:c r="L236" s="5">
        <x:f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x:f>
      </x:c>
    </x:row>
    <x:row r="237" spans="1:12" ht="13.5" customHeight="1">
      <x:c r="A237" s="4">
        <x:v>23</x:v>
      </x:c>
      <x:c r="B237" s="45"/>
      <x:c r="C237" s="45"/>
      <x:c r="D237" s="45"/>
      <x:c r="E237" s="45"/>
      <x:c r="F237" s="45"/>
      <x:c r="G237" s="45"/>
      <x:c r="H237" s="45"/>
      <x:c r="I237" s="4"/>
      <x:c r="J237" s="4"/>
      <x:c r="K237" s="5"/>
      <x:c r="L237" s="5">
        <x:f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x:f>
      </x:c>
    </x:row>
    <x:row r="238" spans="1:12" ht="13.5" customHeight="1">
      <x:c r="A238" s="4">
        <x:v>24</x:v>
      </x:c>
      <x:c r="B238" s="45"/>
      <x:c r="C238" s="45"/>
      <x:c r="D238" s="45"/>
      <x:c r="E238" s="45"/>
      <x:c r="F238" s="45"/>
      <x:c r="G238" s="45"/>
      <x:c r="H238" s="45"/>
      <x:c r="I238" s="4"/>
      <x:c r="J238" s="4"/>
      <x:c r="K238" s="5"/>
      <x:c r="L238" s="5">
        <x:f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x:f>
      </x:c>
    </x:row>
    <x:row r="239" spans="1:12" ht="13.5" customHeight="1">
      <x:c r="A239" s="4">
        <x:v>25</x:v>
      </x:c>
      <x:c r="B239" s="45"/>
      <x:c r="C239" s="45"/>
      <x:c r="D239" s="45"/>
      <x:c r="E239" s="45"/>
      <x:c r="F239" s="45"/>
      <x:c r="G239" s="45"/>
      <x:c r="H239" s="45"/>
      <x:c r="I239" s="4"/>
      <x:c r="J239" s="4"/>
      <x:c r="K239" s="5"/>
      <x:c r="L239" s="5">
        <x:f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x:f>
      </x:c>
    </x:row>
    <x:row r="240" spans="1:12" ht="13.5" customHeight="1">
      <x:c r="A240" s="4">
        <x:v>26</x:v>
      </x:c>
      <x:c r="B240" s="45"/>
      <x:c r="C240" s="45"/>
      <x:c r="D240" s="45"/>
      <x:c r="E240" s="45"/>
      <x:c r="F240" s="45"/>
      <x:c r="G240" s="45"/>
      <x:c r="H240" s="45"/>
      <x:c r="I240" s="4"/>
      <x:c r="J240" s="4"/>
      <x:c r="K240" s="5"/>
      <x:c r="L240" s="5">
        <x:f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x:f>
      </x:c>
    </x:row>
    <x:row r="241" spans="1:12" ht="13.5" customHeight="1">
      <x:c r="A241" s="4">
        <x:v>27</x:v>
      </x:c>
      <x:c r="B241" s="45"/>
      <x:c r="C241" s="45"/>
      <x:c r="D241" s="45"/>
      <x:c r="E241" s="45"/>
      <x:c r="F241" s="45"/>
      <x:c r="G241" s="45"/>
      <x:c r="H241" s="45"/>
      <x:c r="I241" s="4"/>
      <x:c r="J241" s="4"/>
      <x:c r="K241" s="5"/>
      <x:c r="L241" s="5">
        <x:f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x:f>
      </x:c>
    </x:row>
    <x:row r="242" spans="1:12" ht="13.5" customHeight="1">
      <x:c r="A242" s="4">
        <x:v>28</x:v>
      </x:c>
      <x:c r="B242" s="45"/>
      <x:c r="C242" s="45"/>
      <x:c r="D242" s="45"/>
      <x:c r="E242" s="45"/>
      <x:c r="F242" s="45"/>
      <x:c r="G242" s="45"/>
      <x:c r="H242" s="45"/>
      <x:c r="I242" s="4"/>
      <x:c r="J242" s="4"/>
      <x:c r="K242" s="5"/>
      <x:c r="L242" s="5">
        <x:f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x:f>
      </x:c>
    </x:row>
    <x:row r="243" spans="1:12" ht="13.5" customHeight="1">
      <x:c r="A243" s="4">
        <x:v>29</x:v>
      </x:c>
      <x:c r="B243" s="45"/>
      <x:c r="C243" s="45"/>
      <x:c r="D243" s="45"/>
      <x:c r="E243" s="45"/>
      <x:c r="F243" s="45"/>
      <x:c r="G243" s="45"/>
      <x:c r="H243" s="45"/>
      <x:c r="I243" s="4"/>
      <x:c r="J243" s="4"/>
      <x:c r="K243" s="5"/>
      <x:c r="L243" s="5">
        <x:f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x:f>
      </x:c>
    </x:row>
    <x:row r="244" spans="1:12" ht="13.5" customHeight="1">
      <x:c r="A244" s="4">
        <x:v>30</x:v>
      </x:c>
      <x:c r="B244" s="45"/>
      <x:c r="C244" s="45"/>
      <x:c r="D244" s="45"/>
      <x:c r="E244" s="45"/>
      <x:c r="F244" s="45"/>
      <x:c r="G244" s="45"/>
      <x:c r="H244" s="45"/>
      <x:c r="I244" s="4"/>
      <x:c r="J244" s="4"/>
      <x:c r="K244" s="5"/>
      <x:c r="L244" s="5">
        <x:f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x:f>
      </x:c>
    </x:row>
    <x:row r="245" spans="1:12" ht="13.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5"/>
      <x:c r="L245" s="5"/>
    </x:row>
    <x:row r="246" spans="1:12" ht="13.5" customHeight="1">
      <x:c r="A246" s="43" t="s">
        <x:v>61</x:v>
      </x:c>
      <x:c r="B246" s="4"/>
      <x:c r="C246" s="4"/>
      <x:c r="D246" s="4"/>
      <x:c r="E246" s="4"/>
      <x:c r="F246" s="4"/>
      <x:c r="G246" s="4"/>
      <x:c r="H246" s="4"/>
      <x:c r="I246" s="4"/>
      <x:c r="J246" s="4"/>
      <x:c r="K246" s="5"/>
      <x:c r="L246" s="5"/>
    </x:row>
    <x:row r="247" spans="1:12" ht="13.5" customHeight="1">
      <x:c r="A247" s="4"/>
      <x:c r="B247" s="4" t="s">
        <x:v>49</x:v>
      </x:c>
      <x:c r="C247" s="4" t="s">
        <x:v>50</x:v>
      </x:c>
      <x:c r="D247" s="4" t="s">
        <x:v>51</x:v>
      </x:c>
      <x:c r="E247" s="4" t="s">
        <x:v>52</x:v>
      </x:c>
      <x:c r="F247" s="4"/>
      <x:c r="G247" s="4"/>
      <x:c r="H247" s="4"/>
      <x:c r="I247" s="4"/>
      <x:c r="J247" s="4"/>
      <x:c r="K247" s="5"/>
      <x:c r="L247" s="5"/>
    </x:row>
    <x:row r="248" spans="1:12" ht="13.5" customHeight="1">
      <x:c r="A248" s="4">
        <x:v>1</x:v>
      </x:c>
      <x:c r="B248" s="45">
        <x:v>19</x:v>
      </x:c>
      <x:c r="C248" s="45">
        <x:v>500</x:v>
      </x:c>
      <x:c r="D248" s="45">
        <x:v>1</x:v>
      </x:c>
      <x:c r="E248" s="45">
        <x:v>118</x:v>
      </x:c>
      <x:c r="F248" s="4"/>
      <x:c r="G248" s="4"/>
      <x:c r="H248" s="4"/>
      <x:c r="I248" s="4"/>
      <x:c r="J248" s="4"/>
      <x:c r="K248" s="5"/>
      <x:c r="L248" s="5">
        <x:f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x:f>
      </x:c>
    </x:row>
    <x:row r="249" spans="1:12" ht="13.5" customHeight="1">
      <x:c r="A249" s="4">
        <x:v>2</x:v>
      </x:c>
      <x:c r="B249" s="45">
        <x:v>19</x:v>
      </x:c>
      <x:c r="C249" s="45">
        <x:v>500</x:v>
      </x:c>
      <x:c r="D249" s="45">
        <x:v>1</x:v>
      </x:c>
      <x:c r="E249" s="45">
        <x:v>118</x:v>
      </x:c>
      <x:c r="F249" s="4"/>
      <x:c r="G249" s="4"/>
      <x:c r="H249" s="4"/>
      <x:c r="I249" s="4"/>
      <x:c r="J249" s="4"/>
      <x:c r="K249" s="5"/>
      <x:c r="L249" s="5">
        <x:f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x:f>
      </x:c>
    </x:row>
    <x:row r="250" spans="1:12" ht="13.5" customHeight="1">
      <x:c r="A250" s="4">
        <x:v>3</x:v>
      </x:c>
      <x:c r="B250" s="45">
        <x:v>19</x:v>
      </x:c>
      <x:c r="C250" s="45">
        <x:v>500</x:v>
      </x:c>
      <x:c r="D250" s="45">
        <x:v>1</x:v>
      </x:c>
      <x:c r="E250" s="45">
        <x:v>118</x:v>
      </x:c>
      <x:c r="F250" s="4"/>
      <x:c r="G250" s="4"/>
      <x:c r="H250" s="4"/>
      <x:c r="I250" s="4"/>
      <x:c r="J250" s="4"/>
      <x:c r="K250" s="5"/>
      <x:c r="L250" s="5">
        <x:f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x:f>
      </x:c>
    </x:row>
    <x:row r="251" spans="1:12" ht="13.5" customHeight="1">
      <x:c r="A251" s="4">
        <x:v>4</x:v>
      </x:c>
      <x:c r="B251" s="45">
        <x:v>19</x:v>
      </x:c>
      <x:c r="C251" s="45">
        <x:v>500</x:v>
      </x:c>
      <x:c r="D251" s="45">
        <x:v>1</x:v>
      </x:c>
      <x:c r="E251" s="45">
        <x:v>118</x:v>
      </x:c>
      <x:c r="F251" s="4"/>
      <x:c r="G251" s="4"/>
      <x:c r="H251" s="4"/>
      <x:c r="I251" s="4"/>
      <x:c r="J251" s="4"/>
      <x:c r="K251" s="5"/>
      <x:c r="L251" s="5">
        <x:f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x:f>
      </x:c>
    </x:row>
    <x:row r="252" spans="1:12" ht="13.5" customHeight="1">
      <x:c r="A252" s="4">
        <x:v>5</x:v>
      </x:c>
      <x:c r="B252" s="45">
        <x:v>19</x:v>
      </x:c>
      <x:c r="C252" s="45">
        <x:v>500</x:v>
      </x:c>
      <x:c r="D252" s="45">
        <x:v>1</x:v>
      </x:c>
      <x:c r="E252" s="45">
        <x:v>118</x:v>
      </x:c>
      <x:c r="F252" s="4"/>
      <x:c r="G252" s="4"/>
      <x:c r="H252" s="4"/>
      <x:c r="I252" s="4"/>
      <x:c r="J252" s="4"/>
      <x:c r="K252" s="5"/>
      <x:c r="L252" s="5">
        <x:f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x:f>
      </x:c>
    </x:row>
    <x:row r="253" spans="1:12" ht="13.5" customHeight="1">
      <x:c r="A253" s="4">
        <x:v>6</x:v>
      </x:c>
      <x:c r="B253" s="45">
        <x:v>19</x:v>
      </x:c>
      <x:c r="C253" s="45">
        <x:v>500</x:v>
      </x:c>
      <x:c r="D253" s="45">
        <x:v>1</x:v>
      </x:c>
      <x:c r="E253" s="45">
        <x:v>118</x:v>
      </x:c>
      <x:c r="F253" s="4"/>
      <x:c r="G253" s="4"/>
      <x:c r="H253" s="4"/>
      <x:c r="I253" s="4"/>
      <x:c r="J253" s="4"/>
      <x:c r="K253" s="5"/>
      <x:c r="L253" s="5">
        <x:f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x:f>
      </x:c>
    </x:row>
    <x:row r="254" spans="1:12" ht="13.5" customHeight="1">
      <x:c r="A254" s="4">
        <x:v>7</x:v>
      </x:c>
      <x:c r="B254" s="45">
        <x:v>19</x:v>
      </x:c>
      <x:c r="C254" s="45">
        <x:v>500</x:v>
      </x:c>
      <x:c r="D254" s="45">
        <x:v>1</x:v>
      </x:c>
      <x:c r="E254" s="45">
        <x:v>118</x:v>
      </x:c>
      <x:c r="F254" s="4"/>
      <x:c r="G254" s="4"/>
      <x:c r="H254" s="4"/>
      <x:c r="I254" s="4"/>
      <x:c r="J254" s="4"/>
      <x:c r="K254" s="5"/>
      <x:c r="L254" s="5">
        <x:f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x:f>
      </x:c>
    </x:row>
    <x:row r="255" spans="1:12" ht="13.5" customHeight="1">
      <x:c r="A255" s="4">
        <x:v>8</x:v>
      </x:c>
      <x:c r="B255" s="45">
        <x:v>19</x:v>
      </x:c>
      <x:c r="C255" s="45">
        <x:v>500</x:v>
      </x:c>
      <x:c r="D255" s="45">
        <x:v>1</x:v>
      </x:c>
      <x:c r="E255" s="45">
        <x:v>118</x:v>
      </x:c>
      <x:c r="F255" s="4"/>
      <x:c r="G255" s="4"/>
      <x:c r="H255" s="4"/>
      <x:c r="I255" s="4"/>
      <x:c r="J255" s="4"/>
      <x:c r="K255" s="5"/>
      <x:c r="L255" s="5">
        <x:f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x:f>
      </x:c>
    </x:row>
    <x:row r="256" spans="1:12" ht="13.5" customHeight="1">
      <x:c r="A256" s="4">
        <x:v>9</x:v>
      </x:c>
      <x:c r="B256" s="45">
        <x:v>19</x:v>
      </x:c>
      <x:c r="C256" s="45">
        <x:v>500</x:v>
      </x:c>
      <x:c r="D256" s="45">
        <x:v>1</x:v>
      </x:c>
      <x:c r="E256" s="45">
        <x:v>118</x:v>
      </x:c>
      <x:c r="F256" s="4"/>
      <x:c r="G256" s="4"/>
      <x:c r="H256" s="4"/>
      <x:c r="I256" s="4"/>
      <x:c r="J256" s="4"/>
      <x:c r="K256" s="5"/>
      <x:c r="L256" s="5">
        <x:f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x:f>
      </x:c>
    </x:row>
    <x:row r="257" spans="1:12" ht="13.5" customHeight="1">
      <x:c r="A257" s="4">
        <x:v>10</x:v>
      </x:c>
      <x:c r="B257" s="45">
        <x:v>19</x:v>
      </x:c>
      <x:c r="C257" s="45">
        <x:v>500</x:v>
      </x:c>
      <x:c r="D257" s="45">
        <x:v>1</x:v>
      </x:c>
      <x:c r="E257" s="45">
        <x:v>118</x:v>
      </x:c>
      <x:c r="F257" s="4"/>
      <x:c r="G257" s="4"/>
      <x:c r="H257" s="4"/>
      <x:c r="I257" s="4"/>
      <x:c r="J257" s="4"/>
      <x:c r="K257" s="5"/>
      <x:c r="L257" s="5">
        <x:f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x:f>
      </x:c>
    </x:row>
    <x:row r="258" spans="1:12" ht="13.5" customHeight="1">
      <x:c r="A258" s="4">
        <x:v>11</x:v>
      </x:c>
      <x:c r="B258" s="45">
        <x:v>19</x:v>
      </x:c>
      <x:c r="C258" s="45">
        <x:v>500</x:v>
      </x:c>
      <x:c r="D258" s="45">
        <x:v>1</x:v>
      </x:c>
      <x:c r="E258" s="45">
        <x:v>118</x:v>
      </x:c>
      <x:c r="F258" s="4"/>
      <x:c r="G258" s="4"/>
      <x:c r="H258" s="4"/>
      <x:c r="I258" s="4"/>
      <x:c r="J258" s="4"/>
      <x:c r="K258" s="5"/>
      <x:c r="L258" s="5">
        <x:f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x:f>
      </x:c>
    </x:row>
    <x:row r="259" spans="1:12" ht="13.5" customHeight="1">
      <x:c r="A259" s="4">
        <x:v>12</x:v>
      </x:c>
      <x:c r="B259" s="45">
        <x:v>19</x:v>
      </x:c>
      <x:c r="C259" s="45">
        <x:v>500</x:v>
      </x:c>
      <x:c r="D259" s="45">
        <x:v>1</x:v>
      </x:c>
      <x:c r="E259" s="45">
        <x:v>118</x:v>
      </x:c>
      <x:c r="F259" s="4"/>
      <x:c r="G259" s="4"/>
      <x:c r="H259" s="4"/>
      <x:c r="I259" s="4"/>
      <x:c r="J259" s="4"/>
      <x:c r="K259" s="5"/>
      <x:c r="L259" s="5">
        <x:f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x:f>
      </x:c>
    </x:row>
    <x:row r="260" spans="1:12" ht="13.5" customHeight="1">
      <x:c r="A260" s="4">
        <x:v>13</x:v>
      </x:c>
      <x:c r="B260" s="45">
        <x:v>19</x:v>
      </x:c>
      <x:c r="C260" s="45">
        <x:v>500</x:v>
      </x:c>
      <x:c r="D260" s="45">
        <x:v>1</x:v>
      </x:c>
      <x:c r="E260" s="45">
        <x:v>118</x:v>
      </x:c>
      <x:c r="F260" s="4"/>
      <x:c r="G260" s="4"/>
      <x:c r="H260" s="4"/>
      <x:c r="I260" s="4"/>
      <x:c r="J260" s="4"/>
      <x:c r="K260" s="5"/>
      <x:c r="L260" s="5">
        <x:f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x:f>
      </x:c>
    </x:row>
    <x:row r="261" spans="1:12" ht="13.5" customHeight="1">
      <x:c r="A261" s="4">
        <x:v>14</x:v>
      </x:c>
      <x:c r="B261" s="45">
        <x:v>19</x:v>
      </x:c>
      <x:c r="C261" s="45">
        <x:v>500</x:v>
      </x:c>
      <x:c r="D261" s="45">
        <x:v>1</x:v>
      </x:c>
      <x:c r="E261" s="45">
        <x:v>118</x:v>
      </x:c>
      <x:c r="F261" s="4"/>
      <x:c r="G261" s="4"/>
      <x:c r="H261" s="4"/>
      <x:c r="I261" s="4"/>
      <x:c r="J261" s="4"/>
      <x:c r="K261" s="5"/>
      <x:c r="L261" s="5">
        <x:f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x:f>
      </x:c>
    </x:row>
    <x:row r="262" spans="1:12" ht="13.5" customHeight="1">
      <x:c r="A262" s="4">
        <x:v>15</x:v>
      </x:c>
      <x:c r="B262" s="45">
        <x:v>19</x:v>
      </x:c>
      <x:c r="C262" s="45">
        <x:v>500</x:v>
      </x:c>
      <x:c r="D262" s="45">
        <x:v>1</x:v>
      </x:c>
      <x:c r="E262" s="45">
        <x:v>118</x:v>
      </x:c>
      <x:c r="F262" s="4"/>
      <x:c r="G262" s="4"/>
      <x:c r="H262" s="4"/>
      <x:c r="I262" s="4"/>
      <x:c r="J262" s="4"/>
      <x:c r="K262" s="5"/>
      <x:c r="L262" s="5">
        <x:f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x:f>
      </x:c>
    </x:row>
    <x:row r="263" spans="1:12" ht="13.5" customHeight="1">
      <x:c r="A263" s="4">
        <x:v>16</x:v>
      </x:c>
      <x:c r="B263" s="45">
        <x:v>19</x:v>
      </x:c>
      <x:c r="C263" s="45">
        <x:v>500</x:v>
      </x:c>
      <x:c r="D263" s="45">
        <x:v>1</x:v>
      </x:c>
      <x:c r="E263" s="45">
        <x:v>118</x:v>
      </x:c>
      <x:c r="F263" s="4"/>
      <x:c r="G263" s="4"/>
      <x:c r="H263" s="4"/>
      <x:c r="I263" s="4"/>
      <x:c r="J263" s="4"/>
      <x:c r="K263" s="5"/>
      <x:c r="L263" s="5">
        <x:f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x:f>
      </x:c>
    </x:row>
    <x:row r="264" spans="1:12" ht="13.5" customHeight="1">
      <x:c r="A264" s="4">
        <x:v>17</x:v>
      </x:c>
      <x:c r="B264" s="45"/>
      <x:c r="C264" s="45"/>
      <x:c r="D264" s="45"/>
      <x:c r="E264" s="45"/>
      <x:c r="F264" s="4"/>
      <x:c r="G264" s="4"/>
      <x:c r="H264" s="4"/>
      <x:c r="I264" s="4"/>
      <x:c r="J264" s="4"/>
      <x:c r="K264" s="5"/>
      <x:c r="L264" s="5">
        <x:f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x:f>
      </x:c>
    </x:row>
    <x:row r="265" spans="1:12" ht="13.5" customHeight="1">
      <x:c r="A265" s="4">
        <x:v>18</x:v>
      </x:c>
      <x:c r="B265" s="45"/>
      <x:c r="C265" s="45"/>
      <x:c r="D265" s="45"/>
      <x:c r="E265" s="45"/>
      <x:c r="F265" s="4"/>
      <x:c r="G265" s="4"/>
      <x:c r="H265" s="4"/>
      <x:c r="I265" s="4"/>
      <x:c r="J265" s="4"/>
      <x:c r="K265" s="5"/>
      <x:c r="L265" s="5">
        <x:f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x:f>
      </x:c>
    </x:row>
    <x:row r="266" spans="1:12" ht="13.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5"/>
      <x:c r="L266" s="5"/>
    </x:row>
    <x:row r="267" spans="1:12" ht="13.5" customHeight="1">
      <x:c r="A267" s="43" t="s">
        <x:v>62</x:v>
      </x:c>
      <x:c r="B267" s="4"/>
      <x:c r="C267" s="4"/>
      <x:c r="D267" s="4"/>
      <x:c r="E267" s="4"/>
      <x:c r="F267" s="4"/>
      <x:c r="G267" s="4"/>
      <x:c r="H267" s="4"/>
      <x:c r="I267" s="4"/>
      <x:c r="J267" s="4"/>
      <x:c r="K267" s="5"/>
      <x:c r="L267" s="5"/>
    </x:row>
    <x:row r="268" spans="1:12" ht="13.5" customHeight="1">
      <x:c r="A268" s="4"/>
      <x:c r="B268" s="4" t="s">
        <x:v>63</x:v>
      </x:c>
      <x:c r="C268" s="4" t="s">
        <x:v>54</x:v>
      </x:c>
      <x:c r="D268" s="4" t="s">
        <x:v>46</x:v>
      </x:c>
      <x:c r="E268" s="4" t="s">
        <x:v>64</x:v>
      </x:c>
      <x:c r="F268" s="4"/>
      <x:c r="G268" s="4"/>
      <x:c r="H268" s="4"/>
      <x:c r="I268" s="4"/>
      <x:c r="J268" s="4"/>
      <x:c r="K268" s="5"/>
      <x:c r="L268" s="5"/>
    </x:row>
    <x:row r="269" spans="1:12" ht="13.5" customHeight="1">
      <x:c r="A269" s="4">
        <x:v>1</x:v>
      </x:c>
      <x:c r="B269" s="54"/>
      <x:c r="C269" s="49"/>
      <x:c r="D269" s="49"/>
      <x:c r="E269" s="45"/>
      <x:c r="F269" s="4"/>
      <x:c r="G269" s="4"/>
      <x:c r="H269" s="4"/>
      <x:c r="I269" s="4"/>
      <x:c r="J269" s="4"/>
      <x:c r="K269" s="5"/>
      <x:c r="L269" s="5">
        <x:f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x:f>
      </x:c>
    </x:row>
    <x:row r="270" spans="1:12" ht="13.5" customHeight="1">
      <x:c r="A270" s="4">
        <x:v>2</x:v>
      </x:c>
      <x:c r="B270" s="54"/>
      <x:c r="C270" s="45"/>
      <x:c r="D270" s="45"/>
      <x:c r="E270" s="45"/>
      <x:c r="F270" s="4"/>
      <x:c r="G270" s="4"/>
      <x:c r="H270" s="4"/>
      <x:c r="I270" s="4"/>
      <x:c r="J270" s="4"/>
      <x:c r="K270" s="5"/>
      <x:c r="L270" s="5">
        <x:f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x:f>
      </x:c>
    </x:row>
    <x:row r="271" spans="1:12" ht="13.5" customHeight="1">
      <x:c r="A271" s="4">
        <x:v>3</x:v>
      </x:c>
      <x:c r="B271" s="55"/>
      <x:c r="C271" s="45"/>
      <x:c r="D271" s="45"/>
      <x:c r="E271" s="45"/>
      <x:c r="F271" s="4"/>
      <x:c r="G271" s="4"/>
      <x:c r="H271" s="4"/>
      <x:c r="I271" s="4"/>
      <x:c r="J271" s="4"/>
      <x:c r="K271" s="5"/>
      <x:c r="L271" s="5">
        <x:f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x:f>
      </x:c>
    </x:row>
    <x:row r="272" spans="1:12" ht="13.5" customHeight="1">
      <x:c r="A272" s="4">
        <x:v>4</x:v>
      </x:c>
      <x:c r="B272" s="55"/>
      <x:c r="C272" s="45"/>
      <x:c r="D272" s="45"/>
      <x:c r="E272" s="45"/>
      <x:c r="F272" s="4"/>
      <x:c r="G272" s="4"/>
      <x:c r="H272" s="4"/>
      <x:c r="I272" s="4"/>
      <x:c r="J272" s="4"/>
      <x:c r="K272" s="5"/>
      <x:c r="L272" s="5">
        <x:f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x:f>
      </x:c>
    </x:row>
    <x:row r="273" spans="1:12" ht="13.5" customHeight="1">
      <x:c r="A273" s="4">
        <x:v>5</x:v>
      </x:c>
      <x:c r="B273" s="55"/>
      <x:c r="C273" s="45"/>
      <x:c r="D273" s="45"/>
      <x:c r="E273" s="45"/>
      <x:c r="F273" s="4"/>
      <x:c r="G273" s="4"/>
      <x:c r="H273" s="4"/>
      <x:c r="I273" s="4"/>
      <x:c r="J273" s="4"/>
      <x:c r="K273" s="5"/>
      <x:c r="L273" s="5">
        <x:f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x:f>
      </x:c>
    </x:row>
    <x:row r="274" spans="1:12" ht="13.5" customHeight="1">
      <x:c r="A274" s="4">
        <x:v>6</x:v>
      </x:c>
      <x:c r="B274" s="55"/>
      <x:c r="C274" s="45"/>
      <x:c r="D274" s="45"/>
      <x:c r="E274" s="45"/>
      <x:c r="F274" s="4"/>
      <x:c r="G274" s="4"/>
      <x:c r="H274" s="4"/>
      <x:c r="I274" s="4"/>
      <x:c r="J274" s="4"/>
      <x:c r="K274" s="5"/>
      <x:c r="L274" s="5">
        <x:f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x:f>
      </x:c>
    </x:row>
    <x:row r="275" spans="1:12" ht="13.5" customHeight="1">
      <x:c r="A275" s="4">
        <x:v>7</x:v>
      </x:c>
      <x:c r="B275" s="55"/>
      <x:c r="C275" s="45"/>
      <x:c r="D275" s="45"/>
      <x:c r="E275" s="45"/>
      <x:c r="F275" s="4"/>
      <x:c r="G275" s="4"/>
      <x:c r="H275" s="4"/>
      <x:c r="I275" s="4"/>
      <x:c r="J275" s="4"/>
      <x:c r="K275" s="5"/>
      <x:c r="L275" s="5">
        <x:f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x:f>
      </x:c>
    </x:row>
    <x:row r="276" spans="1:12" ht="13.5" customHeight="1">
      <x:c r="A276" s="4">
        <x:v>8</x:v>
      </x:c>
      <x:c r="B276" s="55"/>
      <x:c r="C276" s="45"/>
      <x:c r="D276" s="45"/>
      <x:c r="E276" s="45"/>
      <x:c r="F276" s="4"/>
      <x:c r="G276" s="4"/>
      <x:c r="H276" s="4"/>
      <x:c r="I276" s="4"/>
      <x:c r="J276" s="4"/>
      <x:c r="K276" s="5"/>
      <x:c r="L276" s="5">
        <x:f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x:f>
      </x:c>
    </x:row>
    <x:row r="277" spans="1:12" ht="13.5" customHeight="1">
      <x:c r="A277" s="4">
        <x:v>9</x:v>
      </x:c>
      <x:c r="B277" s="55"/>
      <x:c r="C277" s="45"/>
      <x:c r="D277" s="45"/>
      <x:c r="E277" s="45"/>
      <x:c r="F277" s="4"/>
      <x:c r="G277" s="4"/>
      <x:c r="H277" s="4"/>
      <x:c r="I277" s="4"/>
      <x:c r="J277" s="4"/>
      <x:c r="K277" s="5"/>
      <x:c r="L277" s="5">
        <x:f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x:f>
      </x:c>
    </x:row>
    <x:row r="278" spans="1:12" ht="13.5" customHeight="1">
      <x:c r="A278" s="4">
        <x:v>10</x:v>
      </x:c>
      <x:c r="B278" s="55"/>
      <x:c r="C278" s="45"/>
      <x:c r="D278" s="45"/>
      <x:c r="E278" s="45"/>
      <x:c r="F278" s="4"/>
      <x:c r="G278" s="4"/>
      <x:c r="H278" s="4"/>
      <x:c r="I278" s="4"/>
      <x:c r="J278" s="4"/>
      <x:c r="K278" s="5"/>
      <x:c r="L278" s="5">
        <x:f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x:f>
      </x:c>
    </x:row>
    <x:row r="279" spans="1:12" ht="13.5" customHeight="1">
      <x:c r="A279" s="4">
        <x:v>11</x:v>
      </x:c>
      <x:c r="B279" s="55"/>
      <x:c r="C279" s="45"/>
      <x:c r="D279" s="45"/>
      <x:c r="E279" s="45"/>
      <x:c r="F279" s="4"/>
      <x:c r="G279" s="4"/>
      <x:c r="H279" s="4"/>
      <x:c r="I279" s="4"/>
      <x:c r="J279" s="4"/>
      <x:c r="K279" s="5"/>
      <x:c r="L279" s="5">
        <x:f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x:f>
      </x:c>
    </x:row>
    <x:row r="280" spans="1:12" ht="13.5" customHeight="1">
      <x:c r="A280" s="4">
        <x:v>12</x:v>
      </x:c>
      <x:c r="B280" s="55"/>
      <x:c r="C280" s="45"/>
      <x:c r="D280" s="45"/>
      <x:c r="E280" s="45"/>
      <x:c r="F280" s="4"/>
      <x:c r="G280" s="4"/>
      <x:c r="H280" s="4"/>
      <x:c r="I280" s="4"/>
      <x:c r="J280" s="4"/>
      <x:c r="K280" s="5"/>
      <x:c r="L280" s="5">
        <x:f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x:f>
      </x:c>
    </x:row>
    <x:row r="281" spans="1:12" ht="13.5" customHeight="1">
      <x:c r="A281" s="4">
        <x:v>13</x:v>
      </x:c>
      <x:c r="B281" s="55"/>
      <x:c r="C281" s="45"/>
      <x:c r="D281" s="45"/>
      <x:c r="E281" s="45"/>
      <x:c r="F281" s="4"/>
      <x:c r="G281" s="4"/>
      <x:c r="H281" s="4"/>
      <x:c r="I281" s="4"/>
      <x:c r="J281" s="4"/>
      <x:c r="K281" s="5"/>
      <x:c r="L281" s="5">
        <x:f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x:f>
      </x:c>
    </x:row>
    <x:row r="282" spans="1:12" ht="13.5" customHeight="1">
      <x:c r="A282" s="4">
        <x:v>14</x:v>
      </x:c>
      <x:c r="B282" s="55"/>
      <x:c r="C282" s="45"/>
      <x:c r="D282" s="45"/>
      <x:c r="E282" s="45"/>
      <x:c r="F282" s="4"/>
      <x:c r="G282" s="4"/>
      <x:c r="H282" s="4"/>
      <x:c r="I282" s="4"/>
      <x:c r="J282" s="4"/>
      <x:c r="K282" s="5"/>
      <x:c r="L282" s="5">
        <x:f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x:f>
      </x:c>
    </x:row>
    <x:row r="283" spans="1:12" ht="13.5" customHeight="1">
      <x:c r="A283" s="4">
        <x:v>15</x:v>
      </x:c>
      <x:c r="B283" s="55"/>
      <x:c r="C283" s="45"/>
      <x:c r="D283" s="45"/>
      <x:c r="E283" s="45"/>
      <x:c r="F283" s="4"/>
      <x:c r="G283" s="4"/>
      <x:c r="H283" s="4"/>
      <x:c r="I283" s="4"/>
      <x:c r="J283" s="4"/>
      <x:c r="K283" s="5"/>
      <x:c r="L283" s="5">
        <x:f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x:f>
      </x:c>
    </x:row>
    <x:row r="284" spans="1:12" ht="13.5" customHeight="1">
      <x:c r="A284" s="4">
        <x:v>16</x:v>
      </x:c>
      <x:c r="B284" s="55"/>
      <x:c r="C284" s="45"/>
      <x:c r="D284" s="45"/>
      <x:c r="E284" s="45"/>
      <x:c r="F284" s="4"/>
      <x:c r="G284" s="4"/>
      <x:c r="H284" s="4"/>
      <x:c r="I284" s="4"/>
      <x:c r="J284" s="4"/>
      <x:c r="K284" s="5"/>
      <x:c r="L284" s="5">
        <x:f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x:f>
      </x:c>
    </x:row>
    <x:row r="285" spans="1:12" ht="13.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5"/>
      <x:c r="L285" s="5"/>
    </x:row>
    <x:row r="286" spans="1:12" ht="13.5" customHeight="1">
      <x:c r="A286" s="43" t="s">
        <x:v>65</x:v>
      </x:c>
      <x:c r="B286" s="4"/>
      <x:c r="C286" s="4"/>
      <x:c r="D286" s="4"/>
      <x:c r="E286" s="4"/>
      <x:c r="F286" s="4"/>
      <x:c r="G286" s="4"/>
      <x:c r="H286" s="4"/>
      <x:c r="I286" s="4"/>
      <x:c r="J286" s="4"/>
      <x:c r="K286" s="5"/>
      <x:c r="L286" s="5"/>
    </x:row>
    <x:row r="287" spans="1:12" ht="13.5" customHeight="1">
      <x:c r="A287" s="4"/>
      <x:c r="B287" s="4" t="s">
        <x:v>47</x:v>
      </x:c>
      <x:c r="C287" s="7" t="s">
        <x:v>66</x:v>
      </x:c>
      <x:c r="D287" s="4"/>
      <x:c r="E287" s="4"/>
      <x:c r="F287" s="4"/>
      <x:c r="G287" s="4"/>
      <x:c r="H287" s="4"/>
      <x:c r="I287" s="4"/>
      <x:c r="J287" s="4"/>
      <x:c r="K287" s="5"/>
      <x:c r="L287" s="5"/>
    </x:row>
    <x:row r="288" spans="1:12" ht="13.5" customHeight="1">
      <x:c r="A288" s="4">
        <x:v>1</x:v>
      </x:c>
      <x:c r="B288" s="47"/>
      <x:c r="C288" s="56"/>
      <x:c r="D288" s="4"/>
      <x:c r="E288" s="4"/>
      <x:c r="F288" s="4"/>
      <x:c r="G288" s="4"/>
      <x:c r="H288" s="4"/>
      <x:c r="I288" s="4"/>
      <x:c r="J288" s="4"/>
      <x:c r="K288" s="5"/>
      <x:c r="L288" s="5">
        <x:f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x:f>
      </x:c>
    </x:row>
    <x:row r="289" spans="1:12" ht="13.5" customHeight="1">
      <x:c r="A289" s="4">
        <x:v>2</x:v>
      </x:c>
      <x:c r="B289" s="47"/>
      <x:c r="C289" s="56"/>
      <x:c r="D289" s="4"/>
      <x:c r="E289" s="4"/>
      <x:c r="F289" s="4"/>
      <x:c r="G289" s="4"/>
      <x:c r="H289" s="4"/>
      <x:c r="I289" s="4"/>
      <x:c r="J289" s="4"/>
      <x:c r="K289" s="5"/>
      <x:c r="L289" s="5">
        <x:f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x:f>
      </x:c>
    </x:row>
    <x:row r="290" spans="1:12" ht="13.5" customHeight="1">
      <x:c r="A290" s="4">
        <x:v>3</x:v>
      </x:c>
      <x:c r="B290" s="47"/>
      <x:c r="C290" s="56"/>
      <x:c r="D290" s="4"/>
      <x:c r="E290" s="4"/>
      <x:c r="F290" s="4"/>
      <x:c r="G290" s="4"/>
      <x:c r="H290" s="4"/>
      <x:c r="I290" s="4"/>
      <x:c r="J290" s="4"/>
      <x:c r="K290" s="5"/>
      <x:c r="L290" s="5">
        <x:f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x:f>
      </x:c>
    </x:row>
    <x:row r="291" spans="1:12" ht="13.5" customHeight="1">
      <x:c r="A291" s="4">
        <x:v>4</x:v>
      </x:c>
      <x:c r="B291" s="47"/>
      <x:c r="C291" s="56"/>
      <x:c r="D291" s="4"/>
      <x:c r="E291" s="4"/>
      <x:c r="F291" s="4"/>
      <x:c r="G291" s="4"/>
      <x:c r="H291" s="4"/>
      <x:c r="I291" s="4"/>
      <x:c r="J291" s="4"/>
      <x:c r="K291" s="5"/>
      <x:c r="L291" s="5">
        <x:f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x:f>
      </x:c>
    </x:row>
    <x:row r="292" spans="1:12" ht="13.5" customHeight="1">
      <x:c r="A292" s="4">
        <x:v>5</x:v>
      </x:c>
      <x:c r="B292" s="47"/>
      <x:c r="C292" s="56"/>
      <x:c r="D292" s="4"/>
      <x:c r="E292" s="4"/>
      <x:c r="F292" s="4"/>
      <x:c r="G292" s="4"/>
      <x:c r="H292" s="4"/>
      <x:c r="I292" s="4"/>
      <x:c r="J292" s="4"/>
      <x:c r="K292" s="5"/>
      <x:c r="L292" s="5">
        <x:f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x:f>
      </x:c>
    </x:row>
    <x:row r="293" spans="1:12" ht="13.5" customHeight="1">
      <x:c r="A293" s="4">
        <x:v>6</x:v>
      </x:c>
      <x:c r="B293" s="47"/>
      <x:c r="C293" s="57"/>
      <x:c r="D293" s="4"/>
      <x:c r="E293" s="4"/>
      <x:c r="F293" s="4"/>
      <x:c r="G293" s="4"/>
      <x:c r="H293" s="4"/>
      <x:c r="I293" s="4"/>
      <x:c r="J293" s="4"/>
      <x:c r="K293" s="5"/>
      <x:c r="L293" s="5">
        <x:f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x:f>
      </x:c>
    </x:row>
    <x:row r="294" spans="1:12" ht="13.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5"/>
      <x:c r="L294" s="5"/>
    </x:row>
    <x:row r="295" spans="1:12" ht="13.5" customHeight="1">
      <x:c r="A295" s="43" t="s">
        <x:v>67</x:v>
      </x:c>
      <x:c r="B295" s="4"/>
      <x:c r="C295" s="4"/>
      <x:c r="D295" s="4"/>
      <x:c r="E295" s="4"/>
      <x:c r="F295" s="4"/>
      <x:c r="G295" s="4"/>
      <x:c r="H295" s="4"/>
      <x:c r="I295" s="4"/>
      <x:c r="J295" s="4"/>
      <x:c r="K295" s="5"/>
      <x:c r="L295" s="5"/>
    </x:row>
    <x:row r="296" spans="1:12" ht="13.5" customHeight="1">
      <x:c r="A296" s="4"/>
      <x:c r="B296" s="4" t="s">
        <x:v>54</x:v>
      </x:c>
      <x:c r="C296" s="4" t="s">
        <x:v>68</x:v>
      </x:c>
      <x:c r="D296" s="4"/>
      <x:c r="E296" s="4"/>
      <x:c r="F296" s="4"/>
      <x:c r="G296" s="4"/>
      <x:c r="H296" s="4"/>
      <x:c r="I296" s="4"/>
      <x:c r="J296" s="4"/>
      <x:c r="K296" s="5"/>
      <x:c r="L296" s="5"/>
    </x:row>
    <x:row r="297" spans="1:12" ht="13.5" customHeight="1">
      <x:c r="A297" s="4">
        <x:v>1</x:v>
      </x:c>
      <x:c r="B297" s="48"/>
      <x:c r="C297" s="58"/>
      <x:c r="D297" s="59"/>
      <x:c r="E297" s="59"/>
      <x:c r="F297" s="59"/>
      <x:c r="G297" s="59"/>
      <x:c r="H297" s="60"/>
      <x:c r="I297" s="4"/>
      <x:c r="J297" s="4"/>
      <x:c r="K297" s="5"/>
      <x:c r="L297" s="5">
        <x:f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x:f>
      </x:c>
    </x:row>
    <x:row r="298" spans="1:12" ht="13.5" customHeight="1">
      <x:c r="A298" s="4">
        <x:v>2</x:v>
      </x:c>
      <x:c r="B298" s="48"/>
      <x:c r="C298" s="58"/>
      <x:c r="D298" s="59"/>
      <x:c r="E298" s="59"/>
      <x:c r="F298" s="59"/>
      <x:c r="G298" s="59"/>
      <x:c r="H298" s="60"/>
      <x:c r="I298" s="4"/>
      <x:c r="J298" s="4"/>
      <x:c r="K298" s="5"/>
      <x:c r="L298" s="5">
        <x:f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x:f>
      </x:c>
    </x:row>
    <x:row r="299" spans="1:12" ht="13.5" customHeight="1">
      <x:c r="A299" s="4">
        <x:v>3</x:v>
      </x:c>
      <x:c r="B299" s="48"/>
      <x:c r="C299" s="58"/>
      <x:c r="D299" s="59"/>
      <x:c r="E299" s="59"/>
      <x:c r="F299" s="59"/>
      <x:c r="G299" s="59"/>
      <x:c r="H299" s="60"/>
      <x:c r="I299" s="4"/>
      <x:c r="J299" s="4"/>
      <x:c r="K299" s="5"/>
      <x:c r="L299" s="5">
        <x:f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x:f>
      </x:c>
    </x:row>
    <x:row r="300" spans="1:12" ht="13.5" customHeight="1">
      <x:c r="A300" s="4">
        <x:v>4</x:v>
      </x:c>
      <x:c r="B300" s="48"/>
      <x:c r="C300" s="58"/>
      <x:c r="D300" s="61"/>
      <x:c r="E300" s="61"/>
      <x:c r="F300" s="61"/>
      <x:c r="G300" s="61"/>
      <x:c r="H300" s="62"/>
      <x:c r="I300" s="4"/>
      <x:c r="J300" s="4"/>
      <x:c r="K300" s="5"/>
      <x:c r="L300" s="5">
        <x:f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x:f>
      </x:c>
    </x:row>
    <x:row r="301" spans="1:12" ht="13.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5"/>
      <x:c r="L301" s="5"/>
    </x:row>
    <x:row r="302" spans="1:12" ht="13.5" customHeight="1">
      <x:c r="A302" s="43" t="s">
        <x:v>69</x:v>
      </x:c>
      <x:c r="B302" s="4"/>
      <x:c r="C302" s="4"/>
      <x:c r="D302" s="4"/>
      <x:c r="E302" s="4"/>
      <x:c r="F302" s="4"/>
      <x:c r="G302" s="4"/>
      <x:c r="H302" s="4"/>
      <x:c r="I302" s="4"/>
      <x:c r="J302" s="4"/>
      <x:c r="K302" s="5"/>
      <x:c r="L302" s="5"/>
    </x:row>
    <x:row r="303" spans="1:12" ht="5.25" customHeight="1">
      <x:c r="A303" s="13"/>
      <x:c r="B303" s="4"/>
      <x:c r="C303" s="4"/>
      <x:c r="D303" s="4"/>
      <x:c r="E303" s="4"/>
      <x:c r="F303" s="4"/>
      <x:c r="G303" s="4"/>
      <x:c r="H303" s="4"/>
      <x:c r="I303" s="4"/>
      <x:c r="J303" s="4"/>
      <x:c r="K303" s="5"/>
      <x:c r="L303" s="5"/>
    </x:row>
    <x:row r="304" spans="1:12" ht="13.5" customHeight="1">
      <x:c r="A304" s="4">
        <x:v>1</x:v>
      </x:c>
      <x:c r="B304" s="49"/>
      <x:c r="C304" s="45"/>
      <x:c r="D304" s="4"/>
      <x:c r="E304" s="4"/>
      <x:c r="F304" s="4"/>
      <x:c r="G304" s="4"/>
      <x:c r="H304" s="4"/>
      <x:c r="I304" s="4"/>
      <x:c r="J304" s="4"/>
      <x:c r="K304" s="5"/>
      <x:c r="L304" s="5">
        <x:f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x:f>
      </x:c>
    </x:row>
    <x:row r="305" spans="1:12" ht="13.5" customHeight="1">
      <x:c r="A305" s="4">
        <x:v>2</x:v>
      </x:c>
      <x:c r="B305" s="49"/>
      <x:c r="C305" s="45"/>
      <x:c r="D305" s="4"/>
      <x:c r="E305" s="4"/>
      <x:c r="F305" s="4"/>
      <x:c r="G305" s="4"/>
      <x:c r="H305" s="4"/>
      <x:c r="I305" s="4"/>
      <x:c r="J305" s="4"/>
      <x:c r="K305" s="5"/>
      <x:c r="L305" s="5">
        <x:f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x:f>
      </x:c>
    </x:row>
    <x:row r="306" spans="1:12" ht="13.5" customHeight="1">
      <x:c r="A306" s="4">
        <x:v>3</x:v>
      </x:c>
      <x:c r="B306" s="49"/>
      <x:c r="C306" s="49"/>
      <x:c r="D306" s="4"/>
      <x:c r="E306" s="4"/>
      <x:c r="F306" s="4"/>
      <x:c r="G306" s="4"/>
      <x:c r="H306" s="4"/>
      <x:c r="I306" s="4"/>
      <x:c r="J306" s="4"/>
      <x:c r="K306" s="5"/>
      <x:c r="L306" s="5">
        <x:f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x:f>
      </x:c>
    </x:row>
    <x:row r="307" spans="1:12" ht="13.5" customHeight="1">
      <x:c r="A307" s="4">
        <x:v>4</x:v>
      </x:c>
      <x:c r="B307" s="49"/>
      <x:c r="C307" s="49"/>
      <x:c r="D307" s="4"/>
      <x:c r="E307" s="4"/>
      <x:c r="F307" s="4"/>
      <x:c r="G307" s="4"/>
      <x:c r="H307" s="4"/>
      <x:c r="I307" s="4"/>
      <x:c r="J307" s="4"/>
      <x:c r="K307" s="5"/>
      <x:c r="L307" s="5">
        <x:f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x:f>
      </x:c>
    </x:row>
    <x:row r="308" spans="1:12" ht="13.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5"/>
      <x:c r="L308" s="5"/>
    </x:row>
  </x:sheetData>
  <x:mergeCells count="9">
    <x:mergeCell ref="A1:J1"/>
    <x:mergeCell ref="A2:J2"/>
    <x:mergeCell ref="C5:D5"/>
    <x:mergeCell ref="G5:I5"/>
    <x:mergeCell ref="G6:I6"/>
    <x:mergeCell ref="G7:I7"/>
    <x:mergeCell ref="C297:H297"/>
    <x:mergeCell ref="C298:H298"/>
    <x:mergeCell ref="C299:H299"/>
  </x:mergeCells>
  <x:conditionalFormatting sqref="B12:I21 B25:C30 B34:J41 B45:C50 B54:C65 B69:B84 B88:E91 B95:E102 B106:B111 B115:F122 B126:B129 B133:C139 B143:D152 B156:C176 B180:C184 B188:G190 B194:E211 B215:H244 B248:E265 B269:E284 B288:C293 B297:H300 B304:C307">
    <x:cfRule type="expression" dxfId="0" priority="1" operator="equal">
      <x:formula>AND($L12 &lt;&gt; "Valid",$L12&lt;&gt;"")</x:formula>
    </x:cfRule>
  </x:conditionalFormatting>
  <x:dataValidations count="2">
    <x:dataValidation type="list" errorStyle="stop" operator="between" allowBlank="1" showDropDown="0" showInputMessage="1" showErrorMessage="1" errorTitle="" error="" promptTitle="" prompt="" sqref="C188:G190 B288:B293 B304:B307">
      <x:formula1>"-,A,B,D,E,F,G,H,I,K,M,N,P,R,S,T,W"</x:formula1>
      <x:formula2/>
    </x:dataValidation>
    <x:dataValidation type="list" errorStyle="stop" operator="between" allowBlank="1" showDropDown="0" showInputMessage="1" showErrorMessage="1" errorTitle="" error="" promptTitle="" prompt="" sqref="C5:C5">
      <x:formula1>"Choose,A,B,D,E,F,G,H,I,K,M,N,P,R,S,T,W"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12.0000</ap:AppVersion>
  <ap:Application>Microsoft Excel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Kathleen McMillan</dc:creator>
  <lastModifiedBy>Kathleen McMillan</lastModifiedBy>
  <dcterms:created xsi:type="dcterms:W3CDTF">2025-03-24T13:15:06.0000000Z</dcterms:created>
  <dcterms:modified xsi:type="dcterms:W3CDTF">2025-03-24T13:15:06.0000000Z</dcterms:modified>
</coreProperties>
</file>